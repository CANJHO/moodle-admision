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- CAROLINE\3D Objects\EXAMEN DE ADMISION 2026-1 FECHA 31-01\"/>
    </mc:Choice>
  </mc:AlternateContent>
  <xr:revisionPtr revIDLastSave="0" documentId="8_{3F386017-1767-438D-978C-E6BC0130C8B0}" xr6:coauthVersionLast="47" xr6:coauthVersionMax="47" xr10:uidLastSave="{00000000-0000-0000-0000-000000000000}"/>
  <bookViews>
    <workbookView xWindow="20370" yWindow="-4170" windowWidth="29040" windowHeight="15840" activeTab="1" xr2:uid="{EF71BD6F-CA73-4911-9868-0B14CF1AE338}"/>
  </bookViews>
  <sheets>
    <sheet name="Consolidado_Chincha" sheetId="4" r:id="rId1"/>
    <sheet name="Acta_Final_Chincha" sheetId="8" r:id="rId2"/>
    <sheet name="Datos" sheetId="10" state="hidden" r:id="rId3"/>
    <sheet name="Hoja2" sheetId="11" state="hidden" r:id="rId4"/>
    <sheet name="Consolidado_Ica" sheetId="2" state="hidden" r:id="rId5"/>
    <sheet name="Acta_Final_Ica" sheetId="9" state="hidden" r:id="rId6"/>
    <sheet name="Hoja1" sheetId="5" state="hidden" r:id="rId7"/>
    <sheet name="Hoja1 (2)" sheetId="6" state="hidden" r:id="rId8"/>
  </sheets>
  <definedNames>
    <definedName name="_xlnm._FilterDatabase" localSheetId="1" hidden="1">Acta_Final_Chincha!$A$1:$Z$89</definedName>
    <definedName name="_xlnm._FilterDatabase" localSheetId="3" hidden="1">Hoja2!$A$1:$Z$278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78" i="11" l="1"/>
  <c r="T278" i="11"/>
  <c r="U278" i="11" s="1"/>
  <c r="V278" i="11" s="1"/>
  <c r="S278" i="11"/>
  <c r="Q278" i="11"/>
  <c r="O278" i="11"/>
  <c r="M278" i="11"/>
  <c r="G278" i="11"/>
  <c r="F278" i="11"/>
  <c r="E278" i="11"/>
  <c r="C278" i="11"/>
  <c r="B278" i="11"/>
  <c r="Z277" i="11"/>
  <c r="T277" i="11"/>
  <c r="U277" i="11" s="1"/>
  <c r="V277" i="11" s="1"/>
  <c r="S277" i="11"/>
  <c r="Q277" i="11"/>
  <c r="O277" i="11"/>
  <c r="M277" i="11"/>
  <c r="G277" i="11"/>
  <c r="F277" i="11"/>
  <c r="E277" i="11"/>
  <c r="C277" i="11"/>
  <c r="B277" i="11"/>
  <c r="Z276" i="11"/>
  <c r="T276" i="11"/>
  <c r="U276" i="11" s="1"/>
  <c r="V276" i="11" s="1"/>
  <c r="S276" i="11"/>
  <c r="Q276" i="11"/>
  <c r="O276" i="11"/>
  <c r="M276" i="11"/>
  <c r="G276" i="11"/>
  <c r="F276" i="11"/>
  <c r="E276" i="11"/>
  <c r="C276" i="11"/>
  <c r="B276" i="11"/>
  <c r="Z275" i="11"/>
  <c r="T275" i="11"/>
  <c r="U275" i="11" s="1"/>
  <c r="V275" i="11" s="1"/>
  <c r="S275" i="11"/>
  <c r="Q275" i="11"/>
  <c r="O275" i="11"/>
  <c r="M275" i="11"/>
  <c r="G275" i="11"/>
  <c r="F275" i="11"/>
  <c r="E275" i="11"/>
  <c r="C275" i="11"/>
  <c r="B275" i="11"/>
  <c r="Z274" i="11"/>
  <c r="T274" i="11"/>
  <c r="U274" i="11" s="1"/>
  <c r="V274" i="11" s="1"/>
  <c r="S274" i="11"/>
  <c r="Q274" i="11"/>
  <c r="O274" i="11"/>
  <c r="M274" i="11"/>
  <c r="G274" i="11"/>
  <c r="F274" i="11"/>
  <c r="E274" i="11"/>
  <c r="C274" i="11"/>
  <c r="B274" i="11"/>
  <c r="Z273" i="11"/>
  <c r="T273" i="11"/>
  <c r="U273" i="11" s="1"/>
  <c r="V273" i="11" s="1"/>
  <c r="S273" i="11"/>
  <c r="Q273" i="11"/>
  <c r="O273" i="11"/>
  <c r="M273" i="11"/>
  <c r="G273" i="11"/>
  <c r="F273" i="11"/>
  <c r="E273" i="11"/>
  <c r="C273" i="11"/>
  <c r="B273" i="11"/>
  <c r="Z272" i="11"/>
  <c r="T272" i="11"/>
  <c r="U272" i="11" s="1"/>
  <c r="V272" i="11" s="1"/>
  <c r="S272" i="11"/>
  <c r="Q272" i="11"/>
  <c r="O272" i="11"/>
  <c r="M272" i="11"/>
  <c r="G272" i="11"/>
  <c r="F272" i="11"/>
  <c r="E272" i="11"/>
  <c r="C272" i="11"/>
  <c r="B272" i="11"/>
  <c r="Z271" i="11"/>
  <c r="T271" i="11"/>
  <c r="U271" i="11" s="1"/>
  <c r="V271" i="11" s="1"/>
  <c r="S271" i="11"/>
  <c r="Q271" i="11"/>
  <c r="O271" i="11"/>
  <c r="M271" i="11"/>
  <c r="G271" i="11"/>
  <c r="F271" i="11"/>
  <c r="E271" i="11"/>
  <c r="C271" i="11"/>
  <c r="B271" i="11"/>
  <c r="Z270" i="11"/>
  <c r="T270" i="11"/>
  <c r="U270" i="11" s="1"/>
  <c r="V270" i="11" s="1"/>
  <c r="S270" i="11"/>
  <c r="Q270" i="11"/>
  <c r="O270" i="11"/>
  <c r="M270" i="11"/>
  <c r="G270" i="11"/>
  <c r="F270" i="11"/>
  <c r="E270" i="11"/>
  <c r="C270" i="11"/>
  <c r="B270" i="11"/>
  <c r="Z269" i="11"/>
  <c r="T269" i="11"/>
  <c r="U269" i="11" s="1"/>
  <c r="V269" i="11" s="1"/>
  <c r="S269" i="11"/>
  <c r="Q269" i="11"/>
  <c r="O269" i="11"/>
  <c r="M269" i="11"/>
  <c r="G269" i="11"/>
  <c r="F269" i="11"/>
  <c r="E269" i="11"/>
  <c r="C269" i="11"/>
  <c r="B269" i="11"/>
  <c r="Z268" i="11"/>
  <c r="T268" i="11"/>
  <c r="U268" i="11" s="1"/>
  <c r="V268" i="11" s="1"/>
  <c r="S268" i="11"/>
  <c r="Q268" i="11"/>
  <c r="O268" i="11"/>
  <c r="M268" i="11"/>
  <c r="G268" i="11"/>
  <c r="F268" i="11"/>
  <c r="E268" i="11"/>
  <c r="C268" i="11"/>
  <c r="B268" i="11"/>
  <c r="Z267" i="11"/>
  <c r="T267" i="11"/>
  <c r="U267" i="11" s="1"/>
  <c r="V267" i="11" s="1"/>
  <c r="S267" i="11"/>
  <c r="Q267" i="11"/>
  <c r="O267" i="11"/>
  <c r="M267" i="11"/>
  <c r="G267" i="11"/>
  <c r="F267" i="11"/>
  <c r="E267" i="11"/>
  <c r="C267" i="11"/>
  <c r="B267" i="11"/>
  <c r="Z266" i="11"/>
  <c r="T266" i="11"/>
  <c r="U266" i="11" s="1"/>
  <c r="V266" i="11" s="1"/>
  <c r="S266" i="11"/>
  <c r="Q266" i="11"/>
  <c r="O266" i="11"/>
  <c r="M266" i="11"/>
  <c r="G266" i="11"/>
  <c r="F266" i="11"/>
  <c r="E266" i="11"/>
  <c r="C266" i="11"/>
  <c r="B266" i="11"/>
  <c r="Z265" i="11"/>
  <c r="T265" i="11"/>
  <c r="U265" i="11" s="1"/>
  <c r="V265" i="11" s="1"/>
  <c r="S265" i="11"/>
  <c r="Q265" i="11"/>
  <c r="O265" i="11"/>
  <c r="M265" i="11"/>
  <c r="G265" i="11"/>
  <c r="F265" i="11"/>
  <c r="E265" i="11"/>
  <c r="C265" i="11"/>
  <c r="B265" i="11"/>
  <c r="Z264" i="11"/>
  <c r="T264" i="11"/>
  <c r="U264" i="11" s="1"/>
  <c r="V264" i="11" s="1"/>
  <c r="S264" i="11"/>
  <c r="Q264" i="11"/>
  <c r="O264" i="11"/>
  <c r="M264" i="11"/>
  <c r="G264" i="11"/>
  <c r="F264" i="11"/>
  <c r="E264" i="11"/>
  <c r="C264" i="11"/>
  <c r="B264" i="11"/>
  <c r="Z263" i="11"/>
  <c r="T263" i="11"/>
  <c r="U263" i="11" s="1"/>
  <c r="V263" i="11" s="1"/>
  <c r="S263" i="11"/>
  <c r="Q263" i="11"/>
  <c r="O263" i="11"/>
  <c r="M263" i="11"/>
  <c r="G263" i="11"/>
  <c r="F263" i="11"/>
  <c r="E263" i="11"/>
  <c r="C263" i="11"/>
  <c r="B263" i="11"/>
  <c r="Z262" i="11"/>
  <c r="T262" i="11"/>
  <c r="U262" i="11" s="1"/>
  <c r="V262" i="11" s="1"/>
  <c r="S262" i="11"/>
  <c r="Q262" i="11"/>
  <c r="O262" i="11"/>
  <c r="M262" i="11"/>
  <c r="G262" i="11"/>
  <c r="F262" i="11"/>
  <c r="E262" i="11"/>
  <c r="C262" i="11"/>
  <c r="B262" i="11"/>
  <c r="Z261" i="11"/>
  <c r="T261" i="11"/>
  <c r="U261" i="11" s="1"/>
  <c r="V261" i="11" s="1"/>
  <c r="S261" i="11"/>
  <c r="Q261" i="11"/>
  <c r="O261" i="11"/>
  <c r="M261" i="11"/>
  <c r="G261" i="11"/>
  <c r="F261" i="11"/>
  <c r="E261" i="11"/>
  <c r="C261" i="11"/>
  <c r="B261" i="11"/>
  <c r="Z260" i="11"/>
  <c r="T260" i="11"/>
  <c r="U260" i="11" s="1"/>
  <c r="V260" i="11" s="1"/>
  <c r="S260" i="11"/>
  <c r="Q260" i="11"/>
  <c r="O260" i="11"/>
  <c r="M260" i="11"/>
  <c r="G260" i="11"/>
  <c r="F260" i="11"/>
  <c r="E260" i="11"/>
  <c r="C260" i="11"/>
  <c r="B260" i="11"/>
  <c r="Z259" i="11"/>
  <c r="T259" i="11"/>
  <c r="U259" i="11" s="1"/>
  <c r="V259" i="11" s="1"/>
  <c r="S259" i="11"/>
  <c r="Q259" i="11"/>
  <c r="O259" i="11"/>
  <c r="M259" i="11"/>
  <c r="G259" i="11"/>
  <c r="F259" i="11"/>
  <c r="E259" i="11"/>
  <c r="C259" i="11"/>
  <c r="B259" i="11"/>
  <c r="Z258" i="11"/>
  <c r="T258" i="11"/>
  <c r="U258" i="11" s="1"/>
  <c r="V258" i="11" s="1"/>
  <c r="S258" i="11"/>
  <c r="Q258" i="11"/>
  <c r="O258" i="11"/>
  <c r="M258" i="11"/>
  <c r="G258" i="11"/>
  <c r="F258" i="11"/>
  <c r="E258" i="11"/>
  <c r="C258" i="11"/>
  <c r="B258" i="11"/>
  <c r="Z257" i="11"/>
  <c r="T257" i="11"/>
  <c r="U257" i="11" s="1"/>
  <c r="V257" i="11" s="1"/>
  <c r="S257" i="11"/>
  <c r="Q257" i="11"/>
  <c r="O257" i="11"/>
  <c r="M257" i="11"/>
  <c r="G257" i="11"/>
  <c r="F257" i="11"/>
  <c r="E257" i="11"/>
  <c r="C257" i="11"/>
  <c r="B257" i="11"/>
  <c r="Z256" i="11"/>
  <c r="T256" i="11"/>
  <c r="U256" i="11" s="1"/>
  <c r="V256" i="11" s="1"/>
  <c r="S256" i="11"/>
  <c r="Q256" i="11"/>
  <c r="O256" i="11"/>
  <c r="M256" i="11"/>
  <c r="G256" i="11"/>
  <c r="F256" i="11"/>
  <c r="E256" i="11"/>
  <c r="C256" i="11"/>
  <c r="B256" i="11"/>
  <c r="Z255" i="11"/>
  <c r="T255" i="11"/>
  <c r="U255" i="11" s="1"/>
  <c r="V255" i="11" s="1"/>
  <c r="S255" i="11"/>
  <c r="Q255" i="11"/>
  <c r="O255" i="11"/>
  <c r="M255" i="11"/>
  <c r="G255" i="11"/>
  <c r="F255" i="11"/>
  <c r="E255" i="11"/>
  <c r="C255" i="11"/>
  <c r="B255" i="11"/>
  <c r="Z254" i="11"/>
  <c r="T254" i="11"/>
  <c r="U254" i="11" s="1"/>
  <c r="V254" i="11" s="1"/>
  <c r="S254" i="11"/>
  <c r="Q254" i="11"/>
  <c r="O254" i="11"/>
  <c r="M254" i="11"/>
  <c r="G254" i="11"/>
  <c r="F254" i="11"/>
  <c r="E254" i="11"/>
  <c r="C254" i="11"/>
  <c r="B254" i="11"/>
  <c r="Z253" i="11"/>
  <c r="T253" i="11"/>
  <c r="U253" i="11" s="1"/>
  <c r="V253" i="11" s="1"/>
  <c r="S253" i="11"/>
  <c r="Q253" i="11"/>
  <c r="O253" i="11"/>
  <c r="M253" i="11"/>
  <c r="G253" i="11"/>
  <c r="F253" i="11"/>
  <c r="E253" i="11"/>
  <c r="C253" i="11"/>
  <c r="B253" i="11"/>
  <c r="Z252" i="11"/>
  <c r="T252" i="11"/>
  <c r="U252" i="11" s="1"/>
  <c r="V252" i="11" s="1"/>
  <c r="S252" i="11"/>
  <c r="Q252" i="11"/>
  <c r="O252" i="11"/>
  <c r="M252" i="11"/>
  <c r="G252" i="11"/>
  <c r="F252" i="11"/>
  <c r="E252" i="11"/>
  <c r="C252" i="11"/>
  <c r="B252" i="11"/>
  <c r="Z251" i="11"/>
  <c r="T251" i="11"/>
  <c r="U251" i="11" s="1"/>
  <c r="V251" i="11" s="1"/>
  <c r="S251" i="11"/>
  <c r="Q251" i="11"/>
  <c r="O251" i="11"/>
  <c r="M251" i="11"/>
  <c r="G251" i="11"/>
  <c r="F251" i="11"/>
  <c r="E251" i="11"/>
  <c r="C251" i="11"/>
  <c r="B251" i="11"/>
  <c r="Z250" i="11"/>
  <c r="T250" i="11"/>
  <c r="U250" i="11" s="1"/>
  <c r="V250" i="11" s="1"/>
  <c r="S250" i="11"/>
  <c r="Q250" i="11"/>
  <c r="O250" i="11"/>
  <c r="M250" i="11"/>
  <c r="G250" i="11"/>
  <c r="F250" i="11"/>
  <c r="E250" i="11"/>
  <c r="C250" i="11"/>
  <c r="B250" i="11"/>
  <c r="Z249" i="11"/>
  <c r="T249" i="11"/>
  <c r="U249" i="11" s="1"/>
  <c r="V249" i="11" s="1"/>
  <c r="S249" i="11"/>
  <c r="Q249" i="11"/>
  <c r="O249" i="11"/>
  <c r="M249" i="11"/>
  <c r="G249" i="11"/>
  <c r="F249" i="11"/>
  <c r="E249" i="11"/>
  <c r="C249" i="11"/>
  <c r="B249" i="11"/>
  <c r="Z248" i="11"/>
  <c r="T248" i="11"/>
  <c r="U248" i="11" s="1"/>
  <c r="V248" i="11" s="1"/>
  <c r="S248" i="11"/>
  <c r="Q248" i="11"/>
  <c r="O248" i="11"/>
  <c r="M248" i="11"/>
  <c r="G248" i="11"/>
  <c r="F248" i="11"/>
  <c r="E248" i="11"/>
  <c r="C248" i="11"/>
  <c r="B248" i="11"/>
  <c r="Z247" i="11"/>
  <c r="T247" i="11"/>
  <c r="U247" i="11" s="1"/>
  <c r="V247" i="11" s="1"/>
  <c r="S247" i="11"/>
  <c r="Q247" i="11"/>
  <c r="O247" i="11"/>
  <c r="M247" i="11"/>
  <c r="G247" i="11"/>
  <c r="F247" i="11"/>
  <c r="E247" i="11"/>
  <c r="C247" i="11"/>
  <c r="B247" i="11"/>
  <c r="Z246" i="11"/>
  <c r="T246" i="11"/>
  <c r="U246" i="11" s="1"/>
  <c r="V246" i="11" s="1"/>
  <c r="S246" i="11"/>
  <c r="Q246" i="11"/>
  <c r="O246" i="11"/>
  <c r="M246" i="11"/>
  <c r="G246" i="11"/>
  <c r="F246" i="11"/>
  <c r="E246" i="11"/>
  <c r="C246" i="11"/>
  <c r="B246" i="11"/>
  <c r="Z245" i="11"/>
  <c r="T245" i="11"/>
  <c r="U245" i="11" s="1"/>
  <c r="V245" i="11" s="1"/>
  <c r="S245" i="11"/>
  <c r="Q245" i="11"/>
  <c r="O245" i="11"/>
  <c r="M245" i="11"/>
  <c r="G245" i="11"/>
  <c r="F245" i="11"/>
  <c r="E245" i="11"/>
  <c r="C245" i="11"/>
  <c r="B245" i="11"/>
  <c r="Z244" i="11"/>
  <c r="T244" i="11"/>
  <c r="U244" i="11" s="1"/>
  <c r="V244" i="11" s="1"/>
  <c r="S244" i="11"/>
  <c r="Q244" i="11"/>
  <c r="O244" i="11"/>
  <c r="M244" i="11"/>
  <c r="G244" i="11"/>
  <c r="F244" i="11"/>
  <c r="E244" i="11"/>
  <c r="C244" i="11"/>
  <c r="B244" i="11"/>
  <c r="Z243" i="11"/>
  <c r="T243" i="11"/>
  <c r="U243" i="11" s="1"/>
  <c r="V243" i="11" s="1"/>
  <c r="S243" i="11"/>
  <c r="Q243" i="11"/>
  <c r="O243" i="11"/>
  <c r="M243" i="11"/>
  <c r="G243" i="11"/>
  <c r="F243" i="11"/>
  <c r="E243" i="11"/>
  <c r="C243" i="11"/>
  <c r="B243" i="11"/>
  <c r="Z242" i="11"/>
  <c r="T242" i="11"/>
  <c r="U242" i="11" s="1"/>
  <c r="V242" i="11" s="1"/>
  <c r="S242" i="11"/>
  <c r="Q242" i="11"/>
  <c r="O242" i="11"/>
  <c r="M242" i="11"/>
  <c r="G242" i="11"/>
  <c r="F242" i="11"/>
  <c r="E242" i="11"/>
  <c r="C242" i="11"/>
  <c r="B242" i="11"/>
  <c r="Z241" i="11"/>
  <c r="T241" i="11"/>
  <c r="U241" i="11" s="1"/>
  <c r="V241" i="11" s="1"/>
  <c r="S241" i="11"/>
  <c r="Q241" i="11"/>
  <c r="O241" i="11"/>
  <c r="M241" i="11"/>
  <c r="G241" i="11"/>
  <c r="F241" i="11"/>
  <c r="E241" i="11"/>
  <c r="C241" i="11"/>
  <c r="B241" i="11"/>
  <c r="Z240" i="11"/>
  <c r="T240" i="11"/>
  <c r="U240" i="11" s="1"/>
  <c r="V240" i="11" s="1"/>
  <c r="S240" i="11"/>
  <c r="Q240" i="11"/>
  <c r="O240" i="11"/>
  <c r="M240" i="11"/>
  <c r="G240" i="11"/>
  <c r="F240" i="11"/>
  <c r="E240" i="11"/>
  <c r="C240" i="11"/>
  <c r="B240" i="11"/>
  <c r="Z239" i="11"/>
  <c r="T239" i="11"/>
  <c r="U239" i="11" s="1"/>
  <c r="V239" i="11" s="1"/>
  <c r="S239" i="11"/>
  <c r="Q239" i="11"/>
  <c r="O239" i="11"/>
  <c r="M239" i="11"/>
  <c r="G239" i="11"/>
  <c r="F239" i="11"/>
  <c r="E239" i="11"/>
  <c r="C239" i="11"/>
  <c r="B239" i="11"/>
  <c r="Z238" i="11"/>
  <c r="T238" i="11"/>
  <c r="U238" i="11" s="1"/>
  <c r="V238" i="11" s="1"/>
  <c r="S238" i="11"/>
  <c r="Q238" i="11"/>
  <c r="O238" i="11"/>
  <c r="M238" i="11"/>
  <c r="G238" i="11"/>
  <c r="F238" i="11"/>
  <c r="E238" i="11"/>
  <c r="C238" i="11"/>
  <c r="B238" i="11"/>
  <c r="Z237" i="11"/>
  <c r="T237" i="11"/>
  <c r="U237" i="11" s="1"/>
  <c r="V237" i="11" s="1"/>
  <c r="S237" i="11"/>
  <c r="Q237" i="11"/>
  <c r="O237" i="11"/>
  <c r="M237" i="11"/>
  <c r="G237" i="11"/>
  <c r="F237" i="11"/>
  <c r="E237" i="11"/>
  <c r="C237" i="11"/>
  <c r="B237" i="11"/>
  <c r="Z236" i="11"/>
  <c r="T236" i="11"/>
  <c r="U236" i="11" s="1"/>
  <c r="V236" i="11" s="1"/>
  <c r="S236" i="11"/>
  <c r="Q236" i="11"/>
  <c r="O236" i="11"/>
  <c r="M236" i="11"/>
  <c r="G236" i="11"/>
  <c r="F236" i="11"/>
  <c r="E236" i="11"/>
  <c r="C236" i="11"/>
  <c r="B236" i="11"/>
  <c r="Z235" i="11"/>
  <c r="T235" i="11"/>
  <c r="U235" i="11" s="1"/>
  <c r="V235" i="11" s="1"/>
  <c r="S235" i="11"/>
  <c r="Q235" i="11"/>
  <c r="O235" i="11"/>
  <c r="M235" i="11"/>
  <c r="G235" i="11"/>
  <c r="F235" i="11"/>
  <c r="E235" i="11"/>
  <c r="C235" i="11"/>
  <c r="B235" i="11"/>
  <c r="Z234" i="11"/>
  <c r="T234" i="11"/>
  <c r="U234" i="11" s="1"/>
  <c r="V234" i="11" s="1"/>
  <c r="S234" i="11"/>
  <c r="Q234" i="11"/>
  <c r="O234" i="11"/>
  <c r="M234" i="11"/>
  <c r="G234" i="11"/>
  <c r="F234" i="11"/>
  <c r="E234" i="11"/>
  <c r="C234" i="11"/>
  <c r="B234" i="11"/>
  <c r="Z233" i="11"/>
  <c r="T233" i="11"/>
  <c r="U233" i="11" s="1"/>
  <c r="V233" i="11" s="1"/>
  <c r="S233" i="11"/>
  <c r="Q233" i="11"/>
  <c r="O233" i="11"/>
  <c r="M233" i="11"/>
  <c r="G233" i="11"/>
  <c r="F233" i="11"/>
  <c r="E233" i="11"/>
  <c r="C233" i="11"/>
  <c r="B233" i="11"/>
  <c r="Z232" i="11"/>
  <c r="T232" i="11"/>
  <c r="U232" i="11" s="1"/>
  <c r="V232" i="11" s="1"/>
  <c r="S232" i="11"/>
  <c r="Q232" i="11"/>
  <c r="O232" i="11"/>
  <c r="M232" i="11"/>
  <c r="G232" i="11"/>
  <c r="F232" i="11"/>
  <c r="E232" i="11"/>
  <c r="C232" i="11"/>
  <c r="B232" i="11"/>
  <c r="Z231" i="11"/>
  <c r="T231" i="11"/>
  <c r="U231" i="11" s="1"/>
  <c r="V231" i="11" s="1"/>
  <c r="S231" i="11"/>
  <c r="Q231" i="11"/>
  <c r="O231" i="11"/>
  <c r="M231" i="11"/>
  <c r="G231" i="11"/>
  <c r="F231" i="11"/>
  <c r="E231" i="11"/>
  <c r="C231" i="11"/>
  <c r="B231" i="11"/>
  <c r="Z230" i="11"/>
  <c r="T230" i="11"/>
  <c r="U230" i="11" s="1"/>
  <c r="V230" i="11" s="1"/>
  <c r="S230" i="11"/>
  <c r="Q230" i="11"/>
  <c r="O230" i="11"/>
  <c r="M230" i="11"/>
  <c r="G230" i="11"/>
  <c r="F230" i="11"/>
  <c r="E230" i="11"/>
  <c r="C230" i="11"/>
  <c r="B230" i="11"/>
  <c r="Z229" i="11"/>
  <c r="T229" i="11"/>
  <c r="U229" i="11" s="1"/>
  <c r="V229" i="11" s="1"/>
  <c r="S229" i="11"/>
  <c r="Q229" i="11"/>
  <c r="O229" i="11"/>
  <c r="M229" i="11"/>
  <c r="G229" i="11"/>
  <c r="F229" i="11"/>
  <c r="E229" i="11"/>
  <c r="C229" i="11"/>
  <c r="B229" i="11"/>
  <c r="Z228" i="11"/>
  <c r="T228" i="11"/>
  <c r="U228" i="11" s="1"/>
  <c r="V228" i="11" s="1"/>
  <c r="S228" i="11"/>
  <c r="Q228" i="11"/>
  <c r="O228" i="11"/>
  <c r="M228" i="11"/>
  <c r="G228" i="11"/>
  <c r="F228" i="11"/>
  <c r="E228" i="11"/>
  <c r="C228" i="11"/>
  <c r="B228" i="11"/>
  <c r="Z227" i="11"/>
  <c r="T227" i="11"/>
  <c r="U227" i="11" s="1"/>
  <c r="V227" i="11" s="1"/>
  <c r="S227" i="11"/>
  <c r="Q227" i="11"/>
  <c r="O227" i="11"/>
  <c r="M227" i="11"/>
  <c r="G227" i="11"/>
  <c r="F227" i="11"/>
  <c r="E227" i="11"/>
  <c r="C227" i="11"/>
  <c r="B227" i="11"/>
  <c r="Z226" i="11"/>
  <c r="T226" i="11"/>
  <c r="U226" i="11" s="1"/>
  <c r="V226" i="11" s="1"/>
  <c r="S226" i="11"/>
  <c r="Q226" i="11"/>
  <c r="O226" i="11"/>
  <c r="M226" i="11"/>
  <c r="G226" i="11"/>
  <c r="F226" i="11"/>
  <c r="E226" i="11"/>
  <c r="C226" i="11"/>
  <c r="B226" i="11"/>
  <c r="Z225" i="11"/>
  <c r="T225" i="11"/>
  <c r="U225" i="11" s="1"/>
  <c r="V225" i="11" s="1"/>
  <c r="S225" i="11"/>
  <c r="Q225" i="11"/>
  <c r="O225" i="11"/>
  <c r="M225" i="11"/>
  <c r="G225" i="11"/>
  <c r="F225" i="11"/>
  <c r="E225" i="11"/>
  <c r="C225" i="11"/>
  <c r="B225" i="11"/>
  <c r="Z224" i="11"/>
  <c r="T224" i="11"/>
  <c r="U224" i="11" s="1"/>
  <c r="V224" i="11" s="1"/>
  <c r="S224" i="11"/>
  <c r="Q224" i="11"/>
  <c r="O224" i="11"/>
  <c r="M224" i="11"/>
  <c r="G224" i="11"/>
  <c r="F224" i="11"/>
  <c r="E224" i="11"/>
  <c r="C224" i="11"/>
  <c r="B224" i="11"/>
  <c r="Z223" i="11"/>
  <c r="T223" i="11"/>
  <c r="U223" i="11" s="1"/>
  <c r="V223" i="11" s="1"/>
  <c r="S223" i="11"/>
  <c r="Q223" i="11"/>
  <c r="O223" i="11"/>
  <c r="M223" i="11"/>
  <c r="G223" i="11"/>
  <c r="F223" i="11"/>
  <c r="E223" i="11"/>
  <c r="C223" i="11"/>
  <c r="B223" i="11"/>
  <c r="Z222" i="11"/>
  <c r="T222" i="11"/>
  <c r="U222" i="11" s="1"/>
  <c r="V222" i="11" s="1"/>
  <c r="S222" i="11"/>
  <c r="Q222" i="11"/>
  <c r="O222" i="11"/>
  <c r="M222" i="11"/>
  <c r="G222" i="11"/>
  <c r="F222" i="11"/>
  <c r="E222" i="11"/>
  <c r="C222" i="11"/>
  <c r="B222" i="11"/>
  <c r="Z221" i="11"/>
  <c r="T221" i="11"/>
  <c r="U221" i="11" s="1"/>
  <c r="V221" i="11" s="1"/>
  <c r="S221" i="11"/>
  <c r="Q221" i="11"/>
  <c r="O221" i="11"/>
  <c r="M221" i="11"/>
  <c r="G221" i="11"/>
  <c r="F221" i="11"/>
  <c r="E221" i="11"/>
  <c r="C221" i="11"/>
  <c r="B221" i="11"/>
  <c r="Z220" i="11"/>
  <c r="T220" i="11"/>
  <c r="U220" i="11" s="1"/>
  <c r="V220" i="11" s="1"/>
  <c r="S220" i="11"/>
  <c r="Q220" i="11"/>
  <c r="O220" i="11"/>
  <c r="M220" i="11"/>
  <c r="G220" i="11"/>
  <c r="F220" i="11"/>
  <c r="E220" i="11"/>
  <c r="C220" i="11"/>
  <c r="B220" i="11"/>
  <c r="Z219" i="11"/>
  <c r="T219" i="11"/>
  <c r="U219" i="11" s="1"/>
  <c r="V219" i="11" s="1"/>
  <c r="S219" i="11"/>
  <c r="Q219" i="11"/>
  <c r="O219" i="11"/>
  <c r="M219" i="11"/>
  <c r="G219" i="11"/>
  <c r="F219" i="11"/>
  <c r="E219" i="11"/>
  <c r="C219" i="11"/>
  <c r="B219" i="11"/>
  <c r="Z218" i="11"/>
  <c r="T218" i="11"/>
  <c r="U218" i="11" s="1"/>
  <c r="V218" i="11" s="1"/>
  <c r="S218" i="11"/>
  <c r="Q218" i="11"/>
  <c r="O218" i="11"/>
  <c r="M218" i="11"/>
  <c r="G218" i="11"/>
  <c r="F218" i="11"/>
  <c r="E218" i="11"/>
  <c r="C218" i="11"/>
  <c r="B218" i="11"/>
  <c r="Z217" i="11"/>
  <c r="T217" i="11"/>
  <c r="U217" i="11" s="1"/>
  <c r="V217" i="11" s="1"/>
  <c r="S217" i="11"/>
  <c r="Q217" i="11"/>
  <c r="O217" i="11"/>
  <c r="M217" i="11"/>
  <c r="G217" i="11"/>
  <c r="F217" i="11"/>
  <c r="E217" i="11"/>
  <c r="C217" i="11"/>
  <c r="B217" i="11"/>
  <c r="Z216" i="11"/>
  <c r="T216" i="11"/>
  <c r="U216" i="11" s="1"/>
  <c r="V216" i="11" s="1"/>
  <c r="S216" i="11"/>
  <c r="Q216" i="11"/>
  <c r="O216" i="11"/>
  <c r="M216" i="11"/>
  <c r="G216" i="11"/>
  <c r="F216" i="11"/>
  <c r="E216" i="11"/>
  <c r="C216" i="11"/>
  <c r="B216" i="11"/>
  <c r="Z215" i="11"/>
  <c r="T215" i="11"/>
  <c r="U215" i="11" s="1"/>
  <c r="V215" i="11" s="1"/>
  <c r="S215" i="11"/>
  <c r="Q215" i="11"/>
  <c r="O215" i="11"/>
  <c r="M215" i="11"/>
  <c r="G215" i="11"/>
  <c r="F215" i="11"/>
  <c r="E215" i="11"/>
  <c r="C215" i="11"/>
  <c r="B215" i="11"/>
  <c r="Z214" i="11"/>
  <c r="T214" i="11"/>
  <c r="U214" i="11" s="1"/>
  <c r="V214" i="11" s="1"/>
  <c r="S214" i="11"/>
  <c r="Q214" i="11"/>
  <c r="O214" i="11"/>
  <c r="M214" i="11"/>
  <c r="G214" i="11"/>
  <c r="F214" i="11"/>
  <c r="E214" i="11"/>
  <c r="C214" i="11"/>
  <c r="B214" i="11"/>
  <c r="Z213" i="11"/>
  <c r="T213" i="11"/>
  <c r="U213" i="11" s="1"/>
  <c r="V213" i="11" s="1"/>
  <c r="S213" i="11"/>
  <c r="Q213" i="11"/>
  <c r="O213" i="11"/>
  <c r="M213" i="11"/>
  <c r="G213" i="11"/>
  <c r="F213" i="11"/>
  <c r="E213" i="11"/>
  <c r="C213" i="11"/>
  <c r="B213" i="11"/>
  <c r="Z212" i="11"/>
  <c r="T212" i="11"/>
  <c r="U212" i="11" s="1"/>
  <c r="V212" i="11" s="1"/>
  <c r="S212" i="11"/>
  <c r="Q212" i="11"/>
  <c r="O212" i="11"/>
  <c r="M212" i="11"/>
  <c r="G212" i="11"/>
  <c r="F212" i="11"/>
  <c r="E212" i="11"/>
  <c r="C212" i="11"/>
  <c r="B212" i="11"/>
  <c r="Z211" i="11"/>
  <c r="T211" i="11"/>
  <c r="U211" i="11" s="1"/>
  <c r="V211" i="11" s="1"/>
  <c r="S211" i="11"/>
  <c r="Q211" i="11"/>
  <c r="O211" i="11"/>
  <c r="M211" i="11"/>
  <c r="G211" i="11"/>
  <c r="F211" i="11"/>
  <c r="E211" i="11"/>
  <c r="C211" i="11"/>
  <c r="B211" i="11"/>
  <c r="Z210" i="11"/>
  <c r="T210" i="11"/>
  <c r="U210" i="11" s="1"/>
  <c r="V210" i="11" s="1"/>
  <c r="S210" i="11"/>
  <c r="Q210" i="11"/>
  <c r="O210" i="11"/>
  <c r="M210" i="11"/>
  <c r="G210" i="11"/>
  <c r="F210" i="11"/>
  <c r="E210" i="11"/>
  <c r="C210" i="11"/>
  <c r="B210" i="11"/>
  <c r="Z209" i="11"/>
  <c r="T209" i="11"/>
  <c r="U209" i="11" s="1"/>
  <c r="V209" i="11" s="1"/>
  <c r="S209" i="11"/>
  <c r="Q209" i="11"/>
  <c r="O209" i="11"/>
  <c r="M209" i="11"/>
  <c r="G209" i="11"/>
  <c r="F209" i="11"/>
  <c r="E209" i="11"/>
  <c r="C209" i="11"/>
  <c r="B209" i="11"/>
  <c r="Z208" i="11"/>
  <c r="T208" i="11"/>
  <c r="U208" i="11" s="1"/>
  <c r="V208" i="11" s="1"/>
  <c r="S208" i="11"/>
  <c r="Q208" i="11"/>
  <c r="O208" i="11"/>
  <c r="M208" i="11"/>
  <c r="G208" i="11"/>
  <c r="F208" i="11"/>
  <c r="E208" i="11"/>
  <c r="C208" i="11"/>
  <c r="B208" i="11"/>
  <c r="Z207" i="11"/>
  <c r="T207" i="11"/>
  <c r="U207" i="11" s="1"/>
  <c r="V207" i="11" s="1"/>
  <c r="S207" i="11"/>
  <c r="Q207" i="11"/>
  <c r="O207" i="11"/>
  <c r="M207" i="11"/>
  <c r="G207" i="11"/>
  <c r="F207" i="11"/>
  <c r="E207" i="11"/>
  <c r="C207" i="11"/>
  <c r="B207" i="11"/>
  <c r="Z206" i="11"/>
  <c r="T206" i="11"/>
  <c r="U206" i="11" s="1"/>
  <c r="V206" i="11" s="1"/>
  <c r="S206" i="11"/>
  <c r="Q206" i="11"/>
  <c r="O206" i="11"/>
  <c r="M206" i="11"/>
  <c r="G206" i="11"/>
  <c r="F206" i="11"/>
  <c r="E206" i="11"/>
  <c r="C206" i="11"/>
  <c r="B206" i="11"/>
  <c r="Z205" i="11"/>
  <c r="T205" i="11"/>
  <c r="U205" i="11" s="1"/>
  <c r="V205" i="11" s="1"/>
  <c r="S205" i="11"/>
  <c r="Q205" i="11"/>
  <c r="O205" i="11"/>
  <c r="M205" i="11"/>
  <c r="G205" i="11"/>
  <c r="F205" i="11"/>
  <c r="E205" i="11"/>
  <c r="C205" i="11"/>
  <c r="B205" i="11"/>
  <c r="Z204" i="11"/>
  <c r="T204" i="11"/>
  <c r="U204" i="11" s="1"/>
  <c r="V204" i="11" s="1"/>
  <c r="S204" i="11"/>
  <c r="Q204" i="11"/>
  <c r="O204" i="11"/>
  <c r="M204" i="11"/>
  <c r="G204" i="11"/>
  <c r="F204" i="11"/>
  <c r="E204" i="11"/>
  <c r="C204" i="11"/>
  <c r="B204" i="11"/>
  <c r="Z203" i="11"/>
  <c r="T203" i="11"/>
  <c r="U203" i="11" s="1"/>
  <c r="V203" i="11" s="1"/>
  <c r="S203" i="11"/>
  <c r="Q203" i="11"/>
  <c r="O203" i="11"/>
  <c r="M203" i="11"/>
  <c r="G203" i="11"/>
  <c r="F203" i="11"/>
  <c r="E203" i="11"/>
  <c r="C203" i="11"/>
  <c r="B203" i="11"/>
  <c r="Z202" i="11"/>
  <c r="T202" i="11"/>
  <c r="U202" i="11" s="1"/>
  <c r="V202" i="11" s="1"/>
  <c r="S202" i="11"/>
  <c r="Q202" i="11"/>
  <c r="O202" i="11"/>
  <c r="M202" i="11"/>
  <c r="G202" i="11"/>
  <c r="F202" i="11"/>
  <c r="E202" i="11"/>
  <c r="C202" i="11"/>
  <c r="B202" i="11"/>
  <c r="Z201" i="11"/>
  <c r="T201" i="11"/>
  <c r="U201" i="11" s="1"/>
  <c r="V201" i="11" s="1"/>
  <c r="S201" i="11"/>
  <c r="Q201" i="11"/>
  <c r="O201" i="11"/>
  <c r="M201" i="11"/>
  <c r="G201" i="11"/>
  <c r="F201" i="11"/>
  <c r="E201" i="11"/>
  <c r="C201" i="11"/>
  <c r="B201" i="11"/>
  <c r="Z200" i="11"/>
  <c r="T200" i="11"/>
  <c r="U200" i="11" s="1"/>
  <c r="V200" i="11" s="1"/>
  <c r="S200" i="11"/>
  <c r="Q200" i="11"/>
  <c r="O200" i="11"/>
  <c r="M200" i="11"/>
  <c r="G200" i="11"/>
  <c r="F200" i="11"/>
  <c r="E200" i="11"/>
  <c r="C200" i="11"/>
  <c r="B200" i="11"/>
  <c r="Z199" i="11"/>
  <c r="T199" i="11"/>
  <c r="U199" i="11" s="1"/>
  <c r="V199" i="11" s="1"/>
  <c r="S199" i="11"/>
  <c r="Q199" i="11"/>
  <c r="O199" i="11"/>
  <c r="M199" i="11"/>
  <c r="G199" i="11"/>
  <c r="F199" i="11"/>
  <c r="E199" i="11"/>
  <c r="C199" i="11"/>
  <c r="B199" i="11"/>
  <c r="Z198" i="11"/>
  <c r="T198" i="11"/>
  <c r="U198" i="11" s="1"/>
  <c r="V198" i="11" s="1"/>
  <c r="S198" i="11"/>
  <c r="Q198" i="11"/>
  <c r="O198" i="11"/>
  <c r="M198" i="11"/>
  <c r="G198" i="11"/>
  <c r="F198" i="11"/>
  <c r="E198" i="11"/>
  <c r="C198" i="11"/>
  <c r="B198" i="11"/>
  <c r="Z197" i="11"/>
  <c r="T197" i="11"/>
  <c r="U197" i="11" s="1"/>
  <c r="V197" i="11" s="1"/>
  <c r="S197" i="11"/>
  <c r="Q197" i="11"/>
  <c r="O197" i="11"/>
  <c r="M197" i="11"/>
  <c r="G197" i="11"/>
  <c r="F197" i="11"/>
  <c r="E197" i="11"/>
  <c r="C197" i="11"/>
  <c r="B197" i="11"/>
  <c r="Z196" i="11"/>
  <c r="T196" i="11"/>
  <c r="U196" i="11" s="1"/>
  <c r="V196" i="11" s="1"/>
  <c r="S196" i="11"/>
  <c r="Q196" i="11"/>
  <c r="O196" i="11"/>
  <c r="M196" i="11"/>
  <c r="G196" i="11"/>
  <c r="F196" i="11"/>
  <c r="E196" i="11"/>
  <c r="C196" i="11"/>
  <c r="B196" i="11"/>
  <c r="Z195" i="11"/>
  <c r="T195" i="11"/>
  <c r="U195" i="11" s="1"/>
  <c r="V195" i="11" s="1"/>
  <c r="S195" i="11"/>
  <c r="Q195" i="11"/>
  <c r="O195" i="11"/>
  <c r="M195" i="11"/>
  <c r="G195" i="11"/>
  <c r="F195" i="11"/>
  <c r="E195" i="11"/>
  <c r="C195" i="11"/>
  <c r="B195" i="11"/>
  <c r="Z194" i="11"/>
  <c r="T194" i="11"/>
  <c r="U194" i="11" s="1"/>
  <c r="V194" i="11" s="1"/>
  <c r="S194" i="11"/>
  <c r="Q194" i="11"/>
  <c r="O194" i="11"/>
  <c r="M194" i="11"/>
  <c r="G194" i="11"/>
  <c r="F194" i="11"/>
  <c r="E194" i="11"/>
  <c r="C194" i="11"/>
  <c r="B194" i="11"/>
  <c r="Z193" i="11"/>
  <c r="T193" i="11"/>
  <c r="U193" i="11" s="1"/>
  <c r="V193" i="11" s="1"/>
  <c r="S193" i="11"/>
  <c r="Q193" i="11"/>
  <c r="O193" i="11"/>
  <c r="M193" i="11"/>
  <c r="G193" i="11"/>
  <c r="F193" i="11"/>
  <c r="E193" i="11"/>
  <c r="C193" i="11"/>
  <c r="B193" i="11"/>
  <c r="Z192" i="11"/>
  <c r="T192" i="11"/>
  <c r="U192" i="11" s="1"/>
  <c r="V192" i="11" s="1"/>
  <c r="S192" i="11"/>
  <c r="Q192" i="11"/>
  <c r="O192" i="11"/>
  <c r="M192" i="11"/>
  <c r="G192" i="11"/>
  <c r="F192" i="11"/>
  <c r="E192" i="11"/>
  <c r="C192" i="11"/>
  <c r="B192" i="11"/>
  <c r="Z191" i="11"/>
  <c r="T191" i="11"/>
  <c r="U191" i="11" s="1"/>
  <c r="V191" i="11" s="1"/>
  <c r="S191" i="11"/>
  <c r="Q191" i="11"/>
  <c r="O191" i="11"/>
  <c r="M191" i="11"/>
  <c r="G191" i="11"/>
  <c r="F191" i="11"/>
  <c r="E191" i="11"/>
  <c r="C191" i="11"/>
  <c r="B191" i="11"/>
  <c r="Z190" i="11"/>
  <c r="T190" i="11"/>
  <c r="U190" i="11" s="1"/>
  <c r="V190" i="11" s="1"/>
  <c r="S190" i="11"/>
  <c r="Q190" i="11"/>
  <c r="O190" i="11"/>
  <c r="M190" i="11"/>
  <c r="G190" i="11"/>
  <c r="F190" i="11"/>
  <c r="E190" i="11"/>
  <c r="C190" i="11"/>
  <c r="B190" i="11"/>
  <c r="Z189" i="11"/>
  <c r="T189" i="11"/>
  <c r="U189" i="11" s="1"/>
  <c r="V189" i="11" s="1"/>
  <c r="S189" i="11"/>
  <c r="Q189" i="11"/>
  <c r="O189" i="11"/>
  <c r="M189" i="11"/>
  <c r="G189" i="11"/>
  <c r="F189" i="11"/>
  <c r="E189" i="11"/>
  <c r="C189" i="11"/>
  <c r="B189" i="11"/>
  <c r="Z188" i="11"/>
  <c r="T188" i="11"/>
  <c r="U188" i="11" s="1"/>
  <c r="V188" i="11" s="1"/>
  <c r="S188" i="11"/>
  <c r="Q188" i="11"/>
  <c r="O188" i="11"/>
  <c r="M188" i="11"/>
  <c r="G188" i="11"/>
  <c r="F188" i="11"/>
  <c r="E188" i="11"/>
  <c r="C188" i="11"/>
  <c r="B188" i="11"/>
  <c r="Z187" i="11"/>
  <c r="T187" i="11"/>
  <c r="U187" i="11" s="1"/>
  <c r="V187" i="11" s="1"/>
  <c r="S187" i="11"/>
  <c r="Q187" i="11"/>
  <c r="O187" i="11"/>
  <c r="M187" i="11"/>
  <c r="G187" i="11"/>
  <c r="F187" i="11"/>
  <c r="E187" i="11"/>
  <c r="C187" i="11"/>
  <c r="B187" i="11"/>
  <c r="Z186" i="11"/>
  <c r="T186" i="11"/>
  <c r="U186" i="11" s="1"/>
  <c r="V186" i="11" s="1"/>
  <c r="S186" i="11"/>
  <c r="Q186" i="11"/>
  <c r="O186" i="11"/>
  <c r="M186" i="11"/>
  <c r="G186" i="11"/>
  <c r="F186" i="11"/>
  <c r="E186" i="11"/>
  <c r="C186" i="11"/>
  <c r="B186" i="11"/>
  <c r="Z185" i="11"/>
  <c r="T185" i="11"/>
  <c r="U185" i="11" s="1"/>
  <c r="V185" i="11" s="1"/>
  <c r="S185" i="11"/>
  <c r="Q185" i="11"/>
  <c r="O185" i="11"/>
  <c r="M185" i="11"/>
  <c r="G185" i="11"/>
  <c r="F185" i="11"/>
  <c r="E185" i="11"/>
  <c r="C185" i="11"/>
  <c r="B185" i="11"/>
  <c r="Z184" i="11"/>
  <c r="T184" i="11"/>
  <c r="U184" i="11" s="1"/>
  <c r="V184" i="11" s="1"/>
  <c r="S184" i="11"/>
  <c r="Q184" i="11"/>
  <c r="O184" i="11"/>
  <c r="M184" i="11"/>
  <c r="G184" i="11"/>
  <c r="F184" i="11"/>
  <c r="E184" i="11"/>
  <c r="C184" i="11"/>
  <c r="B184" i="11"/>
  <c r="Z183" i="11"/>
  <c r="T183" i="11"/>
  <c r="U183" i="11" s="1"/>
  <c r="V183" i="11" s="1"/>
  <c r="S183" i="11"/>
  <c r="Q183" i="11"/>
  <c r="O183" i="11"/>
  <c r="M183" i="11"/>
  <c r="G183" i="11"/>
  <c r="F183" i="11"/>
  <c r="E183" i="11"/>
  <c r="C183" i="11"/>
  <c r="B183" i="11"/>
  <c r="Z182" i="11"/>
  <c r="T182" i="11"/>
  <c r="U182" i="11" s="1"/>
  <c r="V182" i="11" s="1"/>
  <c r="S182" i="11"/>
  <c r="Q182" i="11"/>
  <c r="O182" i="11"/>
  <c r="M182" i="11"/>
  <c r="G182" i="11"/>
  <c r="F182" i="11"/>
  <c r="E182" i="11"/>
  <c r="C182" i="11"/>
  <c r="B182" i="11"/>
  <c r="Z181" i="11"/>
  <c r="T181" i="11"/>
  <c r="U181" i="11" s="1"/>
  <c r="V181" i="11" s="1"/>
  <c r="S181" i="11"/>
  <c r="Q181" i="11"/>
  <c r="O181" i="11"/>
  <c r="M181" i="11"/>
  <c r="G181" i="11"/>
  <c r="F181" i="11"/>
  <c r="E181" i="11"/>
  <c r="C181" i="11"/>
  <c r="B181" i="11"/>
  <c r="Z180" i="11"/>
  <c r="T180" i="11"/>
  <c r="U180" i="11" s="1"/>
  <c r="V180" i="11" s="1"/>
  <c r="S180" i="11"/>
  <c r="Q180" i="11"/>
  <c r="O180" i="11"/>
  <c r="M180" i="11"/>
  <c r="G180" i="11"/>
  <c r="F180" i="11"/>
  <c r="E180" i="11"/>
  <c r="C180" i="11"/>
  <c r="B180" i="11"/>
  <c r="Z179" i="11"/>
  <c r="T179" i="11"/>
  <c r="U179" i="11" s="1"/>
  <c r="V179" i="11" s="1"/>
  <c r="S179" i="11"/>
  <c r="Q179" i="11"/>
  <c r="O179" i="11"/>
  <c r="M179" i="11"/>
  <c r="G179" i="11"/>
  <c r="F179" i="11"/>
  <c r="E179" i="11"/>
  <c r="C179" i="11"/>
  <c r="B179" i="11"/>
  <c r="Z178" i="11"/>
  <c r="T178" i="11"/>
  <c r="U178" i="11" s="1"/>
  <c r="V178" i="11" s="1"/>
  <c r="S178" i="11"/>
  <c r="Q178" i="11"/>
  <c r="O178" i="11"/>
  <c r="M178" i="11"/>
  <c r="G178" i="11"/>
  <c r="F178" i="11"/>
  <c r="E178" i="11"/>
  <c r="C178" i="11"/>
  <c r="B178" i="11"/>
  <c r="Z177" i="11"/>
  <c r="T177" i="11"/>
  <c r="U177" i="11" s="1"/>
  <c r="V177" i="11" s="1"/>
  <c r="S177" i="11"/>
  <c r="Q177" i="11"/>
  <c r="O177" i="11"/>
  <c r="M177" i="11"/>
  <c r="G177" i="11"/>
  <c r="F177" i="11"/>
  <c r="E177" i="11"/>
  <c r="C177" i="11"/>
  <c r="B177" i="11"/>
  <c r="Z176" i="11"/>
  <c r="T176" i="11"/>
  <c r="U176" i="11" s="1"/>
  <c r="V176" i="11" s="1"/>
  <c r="S176" i="11"/>
  <c r="Q176" i="11"/>
  <c r="O176" i="11"/>
  <c r="M176" i="11"/>
  <c r="G176" i="11"/>
  <c r="F176" i="11"/>
  <c r="E176" i="11"/>
  <c r="C176" i="11"/>
  <c r="B176" i="11"/>
  <c r="Z175" i="11"/>
  <c r="T175" i="11"/>
  <c r="U175" i="11" s="1"/>
  <c r="V175" i="11" s="1"/>
  <c r="S175" i="11"/>
  <c r="Q175" i="11"/>
  <c r="O175" i="11"/>
  <c r="M175" i="11"/>
  <c r="G175" i="11"/>
  <c r="F175" i="11"/>
  <c r="E175" i="11"/>
  <c r="C175" i="11"/>
  <c r="B175" i="11"/>
  <c r="Z174" i="11"/>
  <c r="T174" i="11"/>
  <c r="U174" i="11" s="1"/>
  <c r="V174" i="11" s="1"/>
  <c r="S174" i="11"/>
  <c r="Q174" i="11"/>
  <c r="O174" i="11"/>
  <c r="M174" i="11"/>
  <c r="G174" i="11"/>
  <c r="F174" i="11"/>
  <c r="E174" i="11"/>
  <c r="C174" i="11"/>
  <c r="B174" i="11"/>
  <c r="Z173" i="11"/>
  <c r="T173" i="11"/>
  <c r="U173" i="11" s="1"/>
  <c r="V173" i="11" s="1"/>
  <c r="S173" i="11"/>
  <c r="Q173" i="11"/>
  <c r="O173" i="11"/>
  <c r="M173" i="11"/>
  <c r="G173" i="11"/>
  <c r="F173" i="11"/>
  <c r="E173" i="11"/>
  <c r="C173" i="11"/>
  <c r="B173" i="11"/>
  <c r="Z172" i="11"/>
  <c r="T172" i="11"/>
  <c r="U172" i="11" s="1"/>
  <c r="V172" i="11" s="1"/>
  <c r="S172" i="11"/>
  <c r="Q172" i="11"/>
  <c r="O172" i="11"/>
  <c r="M172" i="11"/>
  <c r="G172" i="11"/>
  <c r="F172" i="11"/>
  <c r="E172" i="11"/>
  <c r="C172" i="11"/>
  <c r="B172" i="11"/>
  <c r="Z171" i="11"/>
  <c r="T171" i="11"/>
  <c r="U171" i="11" s="1"/>
  <c r="V171" i="11" s="1"/>
  <c r="S171" i="11"/>
  <c r="Q171" i="11"/>
  <c r="O171" i="11"/>
  <c r="M171" i="11"/>
  <c r="G171" i="11"/>
  <c r="F171" i="11"/>
  <c r="E171" i="11"/>
  <c r="C171" i="11"/>
  <c r="B171" i="11"/>
  <c r="Z170" i="11"/>
  <c r="T170" i="11"/>
  <c r="U170" i="11" s="1"/>
  <c r="V170" i="11" s="1"/>
  <c r="S170" i="11"/>
  <c r="Q170" i="11"/>
  <c r="O170" i="11"/>
  <c r="M170" i="11"/>
  <c r="G170" i="11"/>
  <c r="F170" i="11"/>
  <c r="E170" i="11"/>
  <c r="C170" i="11"/>
  <c r="B170" i="11"/>
  <c r="Z169" i="11"/>
  <c r="T169" i="11"/>
  <c r="U169" i="11" s="1"/>
  <c r="V169" i="11" s="1"/>
  <c r="S169" i="11"/>
  <c r="Q169" i="11"/>
  <c r="O169" i="11"/>
  <c r="M169" i="11"/>
  <c r="G169" i="11"/>
  <c r="F169" i="11"/>
  <c r="E169" i="11"/>
  <c r="C169" i="11"/>
  <c r="B169" i="11"/>
  <c r="Z168" i="11"/>
  <c r="T168" i="11"/>
  <c r="U168" i="11" s="1"/>
  <c r="V168" i="11" s="1"/>
  <c r="S168" i="11"/>
  <c r="Q168" i="11"/>
  <c r="O168" i="11"/>
  <c r="M168" i="11"/>
  <c r="G168" i="11"/>
  <c r="F168" i="11"/>
  <c r="E168" i="11"/>
  <c r="C168" i="11"/>
  <c r="B168" i="11"/>
  <c r="Z167" i="11"/>
  <c r="T167" i="11"/>
  <c r="U167" i="11" s="1"/>
  <c r="V167" i="11" s="1"/>
  <c r="S167" i="11"/>
  <c r="Q167" i="11"/>
  <c r="O167" i="11"/>
  <c r="M167" i="11"/>
  <c r="G167" i="11"/>
  <c r="F167" i="11"/>
  <c r="E167" i="11"/>
  <c r="C167" i="11"/>
  <c r="B167" i="11"/>
  <c r="Z166" i="11"/>
  <c r="T166" i="11"/>
  <c r="U166" i="11" s="1"/>
  <c r="V166" i="11" s="1"/>
  <c r="S166" i="11"/>
  <c r="Q166" i="11"/>
  <c r="O166" i="11"/>
  <c r="M166" i="11"/>
  <c r="G166" i="11"/>
  <c r="F166" i="11"/>
  <c r="E166" i="11"/>
  <c r="C166" i="11"/>
  <c r="B166" i="11"/>
  <c r="Z165" i="11"/>
  <c r="T165" i="11"/>
  <c r="U165" i="11" s="1"/>
  <c r="V165" i="11" s="1"/>
  <c r="S165" i="11"/>
  <c r="Q165" i="11"/>
  <c r="O165" i="11"/>
  <c r="M165" i="11"/>
  <c r="G165" i="11"/>
  <c r="F165" i="11"/>
  <c r="E165" i="11"/>
  <c r="C165" i="11"/>
  <c r="B165" i="11"/>
  <c r="Z164" i="11"/>
  <c r="T164" i="11"/>
  <c r="U164" i="11" s="1"/>
  <c r="V164" i="11" s="1"/>
  <c r="S164" i="11"/>
  <c r="Q164" i="11"/>
  <c r="O164" i="11"/>
  <c r="M164" i="11"/>
  <c r="G164" i="11"/>
  <c r="F164" i="11"/>
  <c r="E164" i="11"/>
  <c r="C164" i="11"/>
  <c r="B164" i="11"/>
  <c r="Z163" i="11"/>
  <c r="T163" i="11"/>
  <c r="U163" i="11" s="1"/>
  <c r="V163" i="11" s="1"/>
  <c r="S163" i="11"/>
  <c r="Q163" i="11"/>
  <c r="O163" i="11"/>
  <c r="M163" i="11"/>
  <c r="G163" i="11"/>
  <c r="F163" i="11"/>
  <c r="E163" i="11"/>
  <c r="C163" i="11"/>
  <c r="B163" i="11"/>
  <c r="Z162" i="11"/>
  <c r="T162" i="11"/>
  <c r="U162" i="11" s="1"/>
  <c r="V162" i="11" s="1"/>
  <c r="S162" i="11"/>
  <c r="Q162" i="11"/>
  <c r="O162" i="11"/>
  <c r="M162" i="11"/>
  <c r="G162" i="11"/>
  <c r="F162" i="11"/>
  <c r="E162" i="11"/>
  <c r="C162" i="11"/>
  <c r="B162" i="11"/>
  <c r="Z161" i="11"/>
  <c r="T161" i="11"/>
  <c r="U161" i="11" s="1"/>
  <c r="V161" i="11" s="1"/>
  <c r="S161" i="11"/>
  <c r="Q161" i="11"/>
  <c r="O161" i="11"/>
  <c r="M161" i="11"/>
  <c r="G161" i="11"/>
  <c r="F161" i="11"/>
  <c r="E161" i="11"/>
  <c r="C161" i="11"/>
  <c r="B161" i="11"/>
  <c r="Z160" i="11"/>
  <c r="T160" i="11"/>
  <c r="U160" i="11" s="1"/>
  <c r="V160" i="11" s="1"/>
  <c r="S160" i="11"/>
  <c r="Q160" i="11"/>
  <c r="O160" i="11"/>
  <c r="M160" i="11"/>
  <c r="G160" i="11"/>
  <c r="F160" i="11"/>
  <c r="E160" i="11"/>
  <c r="C160" i="11"/>
  <c r="B160" i="11"/>
  <c r="Z159" i="11"/>
  <c r="T159" i="11"/>
  <c r="U159" i="11" s="1"/>
  <c r="V159" i="11" s="1"/>
  <c r="S159" i="11"/>
  <c r="Q159" i="11"/>
  <c r="O159" i="11"/>
  <c r="M159" i="11"/>
  <c r="G159" i="11"/>
  <c r="F159" i="11"/>
  <c r="E159" i="11"/>
  <c r="C159" i="11"/>
  <c r="B159" i="11"/>
  <c r="Z158" i="11"/>
  <c r="T158" i="11"/>
  <c r="U158" i="11" s="1"/>
  <c r="V158" i="11" s="1"/>
  <c r="S158" i="11"/>
  <c r="Q158" i="11"/>
  <c r="O158" i="11"/>
  <c r="M158" i="11"/>
  <c r="G158" i="11"/>
  <c r="F158" i="11"/>
  <c r="E158" i="11"/>
  <c r="C158" i="11"/>
  <c r="B158" i="11"/>
  <c r="Z157" i="11"/>
  <c r="T157" i="11"/>
  <c r="U157" i="11" s="1"/>
  <c r="V157" i="11" s="1"/>
  <c r="S157" i="11"/>
  <c r="Q157" i="11"/>
  <c r="O157" i="11"/>
  <c r="M157" i="11"/>
  <c r="G157" i="11"/>
  <c r="F157" i="11"/>
  <c r="E157" i="11"/>
  <c r="C157" i="11"/>
  <c r="B157" i="11"/>
  <c r="Z156" i="11"/>
  <c r="T156" i="11"/>
  <c r="U156" i="11" s="1"/>
  <c r="V156" i="11" s="1"/>
  <c r="S156" i="11"/>
  <c r="Q156" i="11"/>
  <c r="O156" i="11"/>
  <c r="M156" i="11"/>
  <c r="G156" i="11"/>
  <c r="F156" i="11"/>
  <c r="E156" i="11"/>
  <c r="C156" i="11"/>
  <c r="B156" i="11"/>
  <c r="Z155" i="11"/>
  <c r="T155" i="11"/>
  <c r="U155" i="11" s="1"/>
  <c r="V155" i="11" s="1"/>
  <c r="S155" i="11"/>
  <c r="Q155" i="11"/>
  <c r="O155" i="11"/>
  <c r="M155" i="11"/>
  <c r="G155" i="11"/>
  <c r="F155" i="11"/>
  <c r="E155" i="11"/>
  <c r="C155" i="11"/>
  <c r="B155" i="11"/>
  <c r="Z154" i="11"/>
  <c r="T154" i="11"/>
  <c r="U154" i="11" s="1"/>
  <c r="V154" i="11" s="1"/>
  <c r="S154" i="11"/>
  <c r="Q154" i="11"/>
  <c r="O154" i="11"/>
  <c r="M154" i="11"/>
  <c r="G154" i="11"/>
  <c r="F154" i="11"/>
  <c r="E154" i="11"/>
  <c r="C154" i="11"/>
  <c r="B154" i="11"/>
  <c r="Z153" i="11"/>
  <c r="T153" i="11"/>
  <c r="U153" i="11" s="1"/>
  <c r="V153" i="11" s="1"/>
  <c r="S153" i="11"/>
  <c r="Q153" i="11"/>
  <c r="O153" i="11"/>
  <c r="M153" i="11"/>
  <c r="G153" i="11"/>
  <c r="F153" i="11"/>
  <c r="E153" i="11"/>
  <c r="C153" i="11"/>
  <c r="B153" i="11"/>
  <c r="Z152" i="11"/>
  <c r="T152" i="11"/>
  <c r="U152" i="11" s="1"/>
  <c r="V152" i="11" s="1"/>
  <c r="S152" i="11"/>
  <c r="Q152" i="11"/>
  <c r="O152" i="11"/>
  <c r="M152" i="11"/>
  <c r="G152" i="11"/>
  <c r="F152" i="11"/>
  <c r="E152" i="11"/>
  <c r="C152" i="11"/>
  <c r="B152" i="11"/>
  <c r="Z151" i="11"/>
  <c r="T151" i="11"/>
  <c r="U151" i="11" s="1"/>
  <c r="V151" i="11" s="1"/>
  <c r="S151" i="11"/>
  <c r="Q151" i="11"/>
  <c r="O151" i="11"/>
  <c r="M151" i="11"/>
  <c r="G151" i="11"/>
  <c r="F151" i="11"/>
  <c r="E151" i="11"/>
  <c r="C151" i="11"/>
  <c r="B151" i="11"/>
  <c r="Z150" i="11"/>
  <c r="T150" i="11"/>
  <c r="U150" i="11" s="1"/>
  <c r="V150" i="11" s="1"/>
  <c r="S150" i="11"/>
  <c r="Q150" i="11"/>
  <c r="O150" i="11"/>
  <c r="M150" i="11"/>
  <c r="G150" i="11"/>
  <c r="F150" i="11"/>
  <c r="E150" i="11"/>
  <c r="C150" i="11"/>
  <c r="B150" i="11"/>
  <c r="Z149" i="11"/>
  <c r="T149" i="11"/>
  <c r="U149" i="11" s="1"/>
  <c r="V149" i="11" s="1"/>
  <c r="S149" i="11"/>
  <c r="Q149" i="11"/>
  <c r="O149" i="11"/>
  <c r="M149" i="11"/>
  <c r="G149" i="11"/>
  <c r="F149" i="11"/>
  <c r="E149" i="11"/>
  <c r="C149" i="11"/>
  <c r="B149" i="11"/>
  <c r="Z148" i="11"/>
  <c r="T148" i="11"/>
  <c r="U148" i="11" s="1"/>
  <c r="V148" i="11" s="1"/>
  <c r="S148" i="11"/>
  <c r="Q148" i="11"/>
  <c r="O148" i="11"/>
  <c r="M148" i="11"/>
  <c r="G148" i="11"/>
  <c r="F148" i="11"/>
  <c r="E148" i="11"/>
  <c r="C148" i="11"/>
  <c r="B148" i="11"/>
  <c r="Z147" i="11"/>
  <c r="T147" i="11"/>
  <c r="U147" i="11" s="1"/>
  <c r="V147" i="11" s="1"/>
  <c r="S147" i="11"/>
  <c r="Q147" i="11"/>
  <c r="O147" i="11"/>
  <c r="M147" i="11"/>
  <c r="G147" i="11"/>
  <c r="F147" i="11"/>
  <c r="E147" i="11"/>
  <c r="C147" i="11"/>
  <c r="B147" i="11"/>
  <c r="Z146" i="11"/>
  <c r="T146" i="11"/>
  <c r="U146" i="11" s="1"/>
  <c r="V146" i="11" s="1"/>
  <c r="S146" i="11"/>
  <c r="Q146" i="11"/>
  <c r="O146" i="11"/>
  <c r="M146" i="11"/>
  <c r="G146" i="11"/>
  <c r="F146" i="11"/>
  <c r="E146" i="11"/>
  <c r="C146" i="11"/>
  <c r="B146" i="11"/>
  <c r="Z145" i="11"/>
  <c r="T145" i="11"/>
  <c r="U145" i="11" s="1"/>
  <c r="V145" i="11" s="1"/>
  <c r="S145" i="11"/>
  <c r="Q145" i="11"/>
  <c r="O145" i="11"/>
  <c r="M145" i="11"/>
  <c r="G145" i="11"/>
  <c r="F145" i="11"/>
  <c r="E145" i="11"/>
  <c r="C145" i="11"/>
  <c r="B145" i="11"/>
  <c r="Z144" i="11"/>
  <c r="T144" i="11"/>
  <c r="U144" i="11" s="1"/>
  <c r="V144" i="11" s="1"/>
  <c r="S144" i="11"/>
  <c r="Q144" i="11"/>
  <c r="O144" i="11"/>
  <c r="M144" i="11"/>
  <c r="G144" i="11"/>
  <c r="F144" i="11"/>
  <c r="E144" i="11"/>
  <c r="C144" i="11"/>
  <c r="B144" i="11"/>
  <c r="Z143" i="11"/>
  <c r="T143" i="11"/>
  <c r="U143" i="11" s="1"/>
  <c r="V143" i="11" s="1"/>
  <c r="S143" i="11"/>
  <c r="Q143" i="11"/>
  <c r="O143" i="11"/>
  <c r="M143" i="11"/>
  <c r="G143" i="11"/>
  <c r="F143" i="11"/>
  <c r="E143" i="11"/>
  <c r="C143" i="11"/>
  <c r="B143" i="11"/>
  <c r="Z142" i="11"/>
  <c r="T142" i="11"/>
  <c r="U142" i="11" s="1"/>
  <c r="V142" i="11" s="1"/>
  <c r="S142" i="11"/>
  <c r="Q142" i="11"/>
  <c r="O142" i="11"/>
  <c r="M142" i="11"/>
  <c r="G142" i="11"/>
  <c r="F142" i="11"/>
  <c r="E142" i="11"/>
  <c r="C142" i="11"/>
  <c r="B142" i="11"/>
  <c r="Z141" i="11"/>
  <c r="T141" i="11"/>
  <c r="U141" i="11" s="1"/>
  <c r="V141" i="11" s="1"/>
  <c r="S141" i="11"/>
  <c r="Q141" i="11"/>
  <c r="O141" i="11"/>
  <c r="M141" i="11"/>
  <c r="G141" i="11"/>
  <c r="F141" i="11"/>
  <c r="E141" i="11"/>
  <c r="C141" i="11"/>
  <c r="B141" i="11"/>
  <c r="Z140" i="11"/>
  <c r="T140" i="11"/>
  <c r="U140" i="11" s="1"/>
  <c r="V140" i="11" s="1"/>
  <c r="S140" i="11"/>
  <c r="Q140" i="11"/>
  <c r="O140" i="11"/>
  <c r="M140" i="11"/>
  <c r="G140" i="11"/>
  <c r="F140" i="11"/>
  <c r="E140" i="11"/>
  <c r="C140" i="11"/>
  <c r="B140" i="11"/>
  <c r="Z139" i="11"/>
  <c r="T139" i="11"/>
  <c r="U139" i="11" s="1"/>
  <c r="V139" i="11" s="1"/>
  <c r="S139" i="11"/>
  <c r="Q139" i="11"/>
  <c r="O139" i="11"/>
  <c r="M139" i="11"/>
  <c r="G139" i="11"/>
  <c r="F139" i="11"/>
  <c r="E139" i="11"/>
  <c r="C139" i="11"/>
  <c r="B139" i="11"/>
  <c r="Z138" i="11"/>
  <c r="T138" i="11"/>
  <c r="U138" i="11" s="1"/>
  <c r="V138" i="11" s="1"/>
  <c r="S138" i="11"/>
  <c r="Q138" i="11"/>
  <c r="O138" i="11"/>
  <c r="M138" i="11"/>
  <c r="G138" i="11"/>
  <c r="F138" i="11"/>
  <c r="E138" i="11"/>
  <c r="C138" i="11"/>
  <c r="B138" i="11"/>
  <c r="Z137" i="11"/>
  <c r="T137" i="11"/>
  <c r="U137" i="11" s="1"/>
  <c r="V137" i="11" s="1"/>
  <c r="S137" i="11"/>
  <c r="Q137" i="11"/>
  <c r="O137" i="11"/>
  <c r="M137" i="11"/>
  <c r="G137" i="11"/>
  <c r="F137" i="11"/>
  <c r="E137" i="11"/>
  <c r="C137" i="11"/>
  <c r="B137" i="11"/>
  <c r="Z136" i="11"/>
  <c r="T136" i="11"/>
  <c r="U136" i="11" s="1"/>
  <c r="V136" i="11" s="1"/>
  <c r="S136" i="11"/>
  <c r="Q136" i="11"/>
  <c r="O136" i="11"/>
  <c r="M136" i="11"/>
  <c r="G136" i="11"/>
  <c r="F136" i="11"/>
  <c r="E136" i="11"/>
  <c r="C136" i="11"/>
  <c r="B136" i="11"/>
  <c r="Z135" i="11"/>
  <c r="T135" i="11"/>
  <c r="U135" i="11" s="1"/>
  <c r="V135" i="11" s="1"/>
  <c r="S135" i="11"/>
  <c r="Q135" i="11"/>
  <c r="O135" i="11"/>
  <c r="M135" i="11"/>
  <c r="G135" i="11"/>
  <c r="F135" i="11"/>
  <c r="E135" i="11"/>
  <c r="C135" i="11"/>
  <c r="B135" i="11"/>
  <c r="Z134" i="11"/>
  <c r="T134" i="11"/>
  <c r="U134" i="11" s="1"/>
  <c r="V134" i="11" s="1"/>
  <c r="S134" i="11"/>
  <c r="Q134" i="11"/>
  <c r="O134" i="11"/>
  <c r="M134" i="11"/>
  <c r="G134" i="11"/>
  <c r="F134" i="11"/>
  <c r="E134" i="11"/>
  <c r="C134" i="11"/>
  <c r="B134" i="11"/>
  <c r="Z133" i="11"/>
  <c r="T133" i="11"/>
  <c r="U133" i="11" s="1"/>
  <c r="V133" i="11" s="1"/>
  <c r="S133" i="11"/>
  <c r="Q133" i="11"/>
  <c r="O133" i="11"/>
  <c r="M133" i="11"/>
  <c r="G133" i="11"/>
  <c r="F133" i="11"/>
  <c r="E133" i="11"/>
  <c r="C133" i="11"/>
  <c r="B133" i="11"/>
  <c r="Z132" i="11"/>
  <c r="T132" i="11"/>
  <c r="U132" i="11" s="1"/>
  <c r="V132" i="11" s="1"/>
  <c r="S132" i="11"/>
  <c r="Q132" i="11"/>
  <c r="O132" i="11"/>
  <c r="M132" i="11"/>
  <c r="G132" i="11"/>
  <c r="F132" i="11"/>
  <c r="E132" i="11"/>
  <c r="C132" i="11"/>
  <c r="B132" i="11"/>
  <c r="Z131" i="11"/>
  <c r="T131" i="11"/>
  <c r="U131" i="11" s="1"/>
  <c r="V131" i="11" s="1"/>
  <c r="S131" i="11"/>
  <c r="Q131" i="11"/>
  <c r="O131" i="11"/>
  <c r="M131" i="11"/>
  <c r="G131" i="11"/>
  <c r="F131" i="11"/>
  <c r="E131" i="11"/>
  <c r="C131" i="11"/>
  <c r="B131" i="11"/>
  <c r="Z130" i="11"/>
  <c r="T130" i="11"/>
  <c r="U130" i="11" s="1"/>
  <c r="V130" i="11" s="1"/>
  <c r="S130" i="11"/>
  <c r="Q130" i="11"/>
  <c r="O130" i="11"/>
  <c r="M130" i="11"/>
  <c r="G130" i="11"/>
  <c r="F130" i="11"/>
  <c r="E130" i="11"/>
  <c r="C130" i="11"/>
  <c r="B130" i="11"/>
  <c r="Z129" i="11"/>
  <c r="T129" i="11"/>
  <c r="U129" i="11" s="1"/>
  <c r="V129" i="11" s="1"/>
  <c r="S129" i="11"/>
  <c r="Q129" i="11"/>
  <c r="O129" i="11"/>
  <c r="M129" i="11"/>
  <c r="G129" i="11"/>
  <c r="F129" i="11"/>
  <c r="E129" i="11"/>
  <c r="C129" i="11"/>
  <c r="B129" i="11"/>
  <c r="Z128" i="11"/>
  <c r="T128" i="11"/>
  <c r="U128" i="11" s="1"/>
  <c r="V128" i="11" s="1"/>
  <c r="S128" i="11"/>
  <c r="Q128" i="11"/>
  <c r="O128" i="11"/>
  <c r="M128" i="11"/>
  <c r="G128" i="11"/>
  <c r="F128" i="11"/>
  <c r="E128" i="11"/>
  <c r="C128" i="11"/>
  <c r="B128" i="11"/>
  <c r="Z127" i="11"/>
  <c r="T127" i="11"/>
  <c r="U127" i="11" s="1"/>
  <c r="V127" i="11" s="1"/>
  <c r="S127" i="11"/>
  <c r="Q127" i="11"/>
  <c r="O127" i="11"/>
  <c r="M127" i="11"/>
  <c r="G127" i="11"/>
  <c r="F127" i="11"/>
  <c r="E127" i="11"/>
  <c r="C127" i="11"/>
  <c r="B127" i="11"/>
  <c r="Z126" i="11"/>
  <c r="T126" i="11"/>
  <c r="U126" i="11" s="1"/>
  <c r="V126" i="11" s="1"/>
  <c r="S126" i="11"/>
  <c r="Q126" i="11"/>
  <c r="O126" i="11"/>
  <c r="M126" i="11"/>
  <c r="G126" i="11"/>
  <c r="F126" i="11"/>
  <c r="E126" i="11"/>
  <c r="C126" i="11"/>
  <c r="B126" i="11"/>
  <c r="Z125" i="11"/>
  <c r="T125" i="11"/>
  <c r="U125" i="11" s="1"/>
  <c r="V125" i="11" s="1"/>
  <c r="S125" i="11"/>
  <c r="Q125" i="11"/>
  <c r="O125" i="11"/>
  <c r="M125" i="11"/>
  <c r="G125" i="11"/>
  <c r="F125" i="11"/>
  <c r="E125" i="11"/>
  <c r="C125" i="11"/>
  <c r="B125" i="11"/>
  <c r="Z124" i="11"/>
  <c r="T124" i="11"/>
  <c r="U124" i="11" s="1"/>
  <c r="V124" i="11" s="1"/>
  <c r="S124" i="11"/>
  <c r="Q124" i="11"/>
  <c r="O124" i="11"/>
  <c r="M124" i="11"/>
  <c r="G124" i="11"/>
  <c r="F124" i="11"/>
  <c r="E124" i="11"/>
  <c r="C124" i="11"/>
  <c r="B124" i="11"/>
  <c r="Z123" i="11"/>
  <c r="T123" i="11"/>
  <c r="U123" i="11" s="1"/>
  <c r="V123" i="11" s="1"/>
  <c r="S123" i="11"/>
  <c r="Q123" i="11"/>
  <c r="O123" i="11"/>
  <c r="M123" i="11"/>
  <c r="G123" i="11"/>
  <c r="F123" i="11"/>
  <c r="E123" i="11"/>
  <c r="C123" i="11"/>
  <c r="B123" i="11"/>
  <c r="Z122" i="11"/>
  <c r="T122" i="11"/>
  <c r="U122" i="11" s="1"/>
  <c r="V122" i="11" s="1"/>
  <c r="S122" i="11"/>
  <c r="Q122" i="11"/>
  <c r="O122" i="11"/>
  <c r="M122" i="11"/>
  <c r="G122" i="11"/>
  <c r="F122" i="11"/>
  <c r="E122" i="11"/>
  <c r="C122" i="11"/>
  <c r="B122" i="11"/>
  <c r="Z121" i="11"/>
  <c r="T121" i="11"/>
  <c r="U121" i="11" s="1"/>
  <c r="V121" i="11" s="1"/>
  <c r="S121" i="11"/>
  <c r="Q121" i="11"/>
  <c r="O121" i="11"/>
  <c r="M121" i="11"/>
  <c r="G121" i="11"/>
  <c r="F121" i="11"/>
  <c r="E121" i="11"/>
  <c r="C121" i="11"/>
  <c r="B121" i="11"/>
  <c r="Z120" i="11"/>
  <c r="T120" i="11"/>
  <c r="U120" i="11" s="1"/>
  <c r="V120" i="11" s="1"/>
  <c r="S120" i="11"/>
  <c r="Q120" i="11"/>
  <c r="O120" i="11"/>
  <c r="M120" i="11"/>
  <c r="G120" i="11"/>
  <c r="F120" i="11"/>
  <c r="E120" i="11"/>
  <c r="C120" i="11"/>
  <c r="B120" i="11"/>
  <c r="Z119" i="11"/>
  <c r="T119" i="11"/>
  <c r="U119" i="11" s="1"/>
  <c r="V119" i="11" s="1"/>
  <c r="S119" i="11"/>
  <c r="Q119" i="11"/>
  <c r="O119" i="11"/>
  <c r="M119" i="11"/>
  <c r="G119" i="11"/>
  <c r="F119" i="11"/>
  <c r="E119" i="11"/>
  <c r="C119" i="11"/>
  <c r="B119" i="11"/>
  <c r="Z118" i="11"/>
  <c r="T118" i="11"/>
  <c r="U118" i="11" s="1"/>
  <c r="V118" i="11" s="1"/>
  <c r="S118" i="11"/>
  <c r="Q118" i="11"/>
  <c r="O118" i="11"/>
  <c r="M118" i="11"/>
  <c r="G118" i="11"/>
  <c r="F118" i="11"/>
  <c r="E118" i="11"/>
  <c r="C118" i="11"/>
  <c r="B118" i="11"/>
  <c r="Z117" i="11"/>
  <c r="T117" i="11"/>
  <c r="U117" i="11" s="1"/>
  <c r="V117" i="11" s="1"/>
  <c r="S117" i="11"/>
  <c r="Q117" i="11"/>
  <c r="O117" i="11"/>
  <c r="M117" i="11"/>
  <c r="G117" i="11"/>
  <c r="F117" i="11"/>
  <c r="E117" i="11"/>
  <c r="C117" i="11"/>
  <c r="B117" i="11"/>
  <c r="Z116" i="11"/>
  <c r="T116" i="11"/>
  <c r="U116" i="11" s="1"/>
  <c r="V116" i="11" s="1"/>
  <c r="S116" i="11"/>
  <c r="Q116" i="11"/>
  <c r="O116" i="11"/>
  <c r="M116" i="11"/>
  <c r="G116" i="11"/>
  <c r="F116" i="11"/>
  <c r="E116" i="11"/>
  <c r="C116" i="11"/>
  <c r="B116" i="11"/>
  <c r="Z115" i="11"/>
  <c r="T115" i="11"/>
  <c r="U115" i="11" s="1"/>
  <c r="V115" i="11" s="1"/>
  <c r="S115" i="11"/>
  <c r="Q115" i="11"/>
  <c r="O115" i="11"/>
  <c r="M115" i="11"/>
  <c r="G115" i="11"/>
  <c r="F115" i="11"/>
  <c r="E115" i="11"/>
  <c r="C115" i="11"/>
  <c r="B115" i="11"/>
  <c r="Z114" i="11"/>
  <c r="T114" i="11"/>
  <c r="U114" i="11" s="1"/>
  <c r="V114" i="11" s="1"/>
  <c r="S114" i="11"/>
  <c r="Q114" i="11"/>
  <c r="O114" i="11"/>
  <c r="M114" i="11"/>
  <c r="G114" i="11"/>
  <c r="F114" i="11"/>
  <c r="E114" i="11"/>
  <c r="C114" i="11"/>
  <c r="B114" i="11"/>
  <c r="Z113" i="11"/>
  <c r="T113" i="11"/>
  <c r="U113" i="11" s="1"/>
  <c r="V113" i="11" s="1"/>
  <c r="S113" i="11"/>
  <c r="Q113" i="11"/>
  <c r="O113" i="11"/>
  <c r="M113" i="11"/>
  <c r="G113" i="11"/>
  <c r="F113" i="11"/>
  <c r="E113" i="11"/>
  <c r="C113" i="11"/>
  <c r="B113" i="11"/>
  <c r="Z112" i="11"/>
  <c r="T112" i="11"/>
  <c r="U112" i="11" s="1"/>
  <c r="V112" i="11" s="1"/>
  <c r="S112" i="11"/>
  <c r="Q112" i="11"/>
  <c r="O112" i="11"/>
  <c r="M112" i="11"/>
  <c r="G112" i="11"/>
  <c r="F112" i="11"/>
  <c r="E112" i="11"/>
  <c r="C112" i="11"/>
  <c r="B112" i="11"/>
  <c r="Z111" i="11"/>
  <c r="T111" i="11"/>
  <c r="U111" i="11" s="1"/>
  <c r="V111" i="11" s="1"/>
  <c r="S111" i="11"/>
  <c r="Q111" i="11"/>
  <c r="O111" i="11"/>
  <c r="M111" i="11"/>
  <c r="G111" i="11"/>
  <c r="F111" i="11"/>
  <c r="E111" i="11"/>
  <c r="C111" i="11"/>
  <c r="B111" i="11"/>
  <c r="Z110" i="11"/>
  <c r="T110" i="11"/>
  <c r="U110" i="11" s="1"/>
  <c r="V110" i="11" s="1"/>
  <c r="S110" i="11"/>
  <c r="Q110" i="11"/>
  <c r="O110" i="11"/>
  <c r="M110" i="11"/>
  <c r="G110" i="11"/>
  <c r="F110" i="11"/>
  <c r="E110" i="11"/>
  <c r="C110" i="11"/>
  <c r="B110" i="11"/>
  <c r="Z109" i="11"/>
  <c r="T109" i="11"/>
  <c r="U109" i="11" s="1"/>
  <c r="V109" i="11" s="1"/>
  <c r="S109" i="11"/>
  <c r="Q109" i="11"/>
  <c r="O109" i="11"/>
  <c r="M109" i="11"/>
  <c r="G109" i="11"/>
  <c r="F109" i="11"/>
  <c r="E109" i="11"/>
  <c r="C109" i="11"/>
  <c r="B109" i="11"/>
  <c r="Z108" i="11"/>
  <c r="T108" i="11"/>
  <c r="U108" i="11" s="1"/>
  <c r="V108" i="11" s="1"/>
  <c r="S108" i="11"/>
  <c r="Q108" i="11"/>
  <c r="O108" i="11"/>
  <c r="M108" i="11"/>
  <c r="G108" i="11"/>
  <c r="F108" i="11"/>
  <c r="E108" i="11"/>
  <c r="C108" i="11"/>
  <c r="B108" i="11"/>
  <c r="Z107" i="11"/>
  <c r="T107" i="11"/>
  <c r="U107" i="11" s="1"/>
  <c r="V107" i="11" s="1"/>
  <c r="S107" i="11"/>
  <c r="Q107" i="11"/>
  <c r="O107" i="11"/>
  <c r="M107" i="11"/>
  <c r="G107" i="11"/>
  <c r="F107" i="11"/>
  <c r="E107" i="11"/>
  <c r="C107" i="11"/>
  <c r="B107" i="11"/>
  <c r="Z106" i="11"/>
  <c r="T106" i="11"/>
  <c r="U106" i="11" s="1"/>
  <c r="V106" i="11" s="1"/>
  <c r="S106" i="11"/>
  <c r="Q106" i="11"/>
  <c r="O106" i="11"/>
  <c r="M106" i="11"/>
  <c r="G106" i="11"/>
  <c r="F106" i="11"/>
  <c r="E106" i="11"/>
  <c r="C106" i="11"/>
  <c r="B106" i="11"/>
  <c r="Z105" i="11"/>
  <c r="T105" i="11"/>
  <c r="U105" i="11" s="1"/>
  <c r="V105" i="11" s="1"/>
  <c r="S105" i="11"/>
  <c r="Q105" i="11"/>
  <c r="O105" i="11"/>
  <c r="M105" i="11"/>
  <c r="G105" i="11"/>
  <c r="F105" i="11"/>
  <c r="E105" i="11"/>
  <c r="C105" i="11"/>
  <c r="B105" i="11"/>
  <c r="Z104" i="11"/>
  <c r="T104" i="11"/>
  <c r="U104" i="11" s="1"/>
  <c r="V104" i="11" s="1"/>
  <c r="S104" i="11"/>
  <c r="Q104" i="11"/>
  <c r="O104" i="11"/>
  <c r="M104" i="11"/>
  <c r="G104" i="11"/>
  <c r="F104" i="11"/>
  <c r="E104" i="11"/>
  <c r="C104" i="11"/>
  <c r="B104" i="11"/>
  <c r="Z103" i="11"/>
  <c r="T103" i="11"/>
  <c r="U103" i="11" s="1"/>
  <c r="V103" i="11" s="1"/>
  <c r="S103" i="11"/>
  <c r="Q103" i="11"/>
  <c r="O103" i="11"/>
  <c r="M103" i="11"/>
  <c r="G103" i="11"/>
  <c r="F103" i="11"/>
  <c r="E103" i="11"/>
  <c r="C103" i="11"/>
  <c r="B103" i="11"/>
  <c r="Z102" i="11"/>
  <c r="T102" i="11"/>
  <c r="U102" i="11" s="1"/>
  <c r="V102" i="11" s="1"/>
  <c r="S102" i="11"/>
  <c r="Q102" i="11"/>
  <c r="O102" i="11"/>
  <c r="M102" i="11"/>
  <c r="G102" i="11"/>
  <c r="F102" i="11"/>
  <c r="E102" i="11"/>
  <c r="C102" i="11"/>
  <c r="B102" i="11"/>
  <c r="Z101" i="11"/>
  <c r="T101" i="11"/>
  <c r="U101" i="11" s="1"/>
  <c r="V101" i="11" s="1"/>
  <c r="S101" i="11"/>
  <c r="Q101" i="11"/>
  <c r="O101" i="11"/>
  <c r="M101" i="11"/>
  <c r="G101" i="11"/>
  <c r="F101" i="11"/>
  <c r="E101" i="11"/>
  <c r="C101" i="11"/>
  <c r="B101" i="11"/>
  <c r="Z100" i="11"/>
  <c r="T100" i="11"/>
  <c r="U100" i="11" s="1"/>
  <c r="V100" i="11" s="1"/>
  <c r="S100" i="11"/>
  <c r="Q100" i="11"/>
  <c r="O100" i="11"/>
  <c r="M100" i="11"/>
  <c r="G100" i="11"/>
  <c r="F100" i="11"/>
  <c r="E100" i="11"/>
  <c r="C100" i="11"/>
  <c r="B100" i="11"/>
  <c r="Z99" i="11"/>
  <c r="T99" i="11"/>
  <c r="U99" i="11" s="1"/>
  <c r="V99" i="11" s="1"/>
  <c r="S99" i="11"/>
  <c r="Q99" i="11"/>
  <c r="O99" i="11"/>
  <c r="M99" i="11"/>
  <c r="G99" i="11"/>
  <c r="F99" i="11"/>
  <c r="E99" i="11"/>
  <c r="C99" i="11"/>
  <c r="B99" i="11"/>
  <c r="Z98" i="11"/>
  <c r="T98" i="11"/>
  <c r="U98" i="11" s="1"/>
  <c r="V98" i="11" s="1"/>
  <c r="S98" i="11"/>
  <c r="Q98" i="11"/>
  <c r="O98" i="11"/>
  <c r="M98" i="11"/>
  <c r="G98" i="11"/>
  <c r="F98" i="11"/>
  <c r="E98" i="11"/>
  <c r="C98" i="11"/>
  <c r="B98" i="11"/>
  <c r="Z97" i="11"/>
  <c r="T97" i="11"/>
  <c r="U97" i="11" s="1"/>
  <c r="V97" i="11" s="1"/>
  <c r="S97" i="11"/>
  <c r="Q97" i="11"/>
  <c r="O97" i="11"/>
  <c r="M97" i="11"/>
  <c r="G97" i="11"/>
  <c r="F97" i="11"/>
  <c r="E97" i="11"/>
  <c r="C97" i="11"/>
  <c r="B97" i="11"/>
  <c r="Z96" i="11"/>
  <c r="T96" i="11"/>
  <c r="U96" i="11" s="1"/>
  <c r="V96" i="11" s="1"/>
  <c r="S96" i="11"/>
  <c r="Q96" i="11"/>
  <c r="O96" i="11"/>
  <c r="M96" i="11"/>
  <c r="G96" i="11"/>
  <c r="F96" i="11"/>
  <c r="E96" i="11"/>
  <c r="C96" i="11"/>
  <c r="B96" i="11"/>
  <c r="Z95" i="11"/>
  <c r="T95" i="11"/>
  <c r="U95" i="11" s="1"/>
  <c r="V95" i="11" s="1"/>
  <c r="S95" i="11"/>
  <c r="Q95" i="11"/>
  <c r="O95" i="11"/>
  <c r="M95" i="11"/>
  <c r="G95" i="11"/>
  <c r="F95" i="11"/>
  <c r="E95" i="11"/>
  <c r="C95" i="11"/>
  <c r="B95" i="11"/>
  <c r="Z94" i="11"/>
  <c r="T94" i="11"/>
  <c r="U94" i="11" s="1"/>
  <c r="V94" i="11" s="1"/>
  <c r="S94" i="11"/>
  <c r="Q94" i="11"/>
  <c r="O94" i="11"/>
  <c r="M94" i="11"/>
  <c r="G94" i="11"/>
  <c r="F94" i="11"/>
  <c r="E94" i="11"/>
  <c r="C94" i="11"/>
  <c r="B94" i="11"/>
  <c r="Z93" i="11"/>
  <c r="T93" i="11"/>
  <c r="U93" i="11" s="1"/>
  <c r="V93" i="11" s="1"/>
  <c r="S93" i="11"/>
  <c r="Q93" i="11"/>
  <c r="O93" i="11"/>
  <c r="M93" i="11"/>
  <c r="G93" i="11"/>
  <c r="F93" i="11"/>
  <c r="E93" i="11"/>
  <c r="C93" i="11"/>
  <c r="B93" i="11"/>
  <c r="Z92" i="11"/>
  <c r="T92" i="11"/>
  <c r="U92" i="11" s="1"/>
  <c r="V92" i="11" s="1"/>
  <c r="S92" i="11"/>
  <c r="Q92" i="11"/>
  <c r="O92" i="11"/>
  <c r="M92" i="11"/>
  <c r="G92" i="11"/>
  <c r="F92" i="11"/>
  <c r="E92" i="11"/>
  <c r="C92" i="11"/>
  <c r="B92" i="11"/>
  <c r="Z91" i="11"/>
  <c r="T91" i="11"/>
  <c r="U91" i="11" s="1"/>
  <c r="V91" i="11" s="1"/>
  <c r="S91" i="11"/>
  <c r="Q91" i="11"/>
  <c r="O91" i="11"/>
  <c r="M91" i="11"/>
  <c r="G91" i="11"/>
  <c r="F91" i="11"/>
  <c r="E91" i="11"/>
  <c r="C91" i="11"/>
  <c r="B91" i="11"/>
  <c r="Z90" i="11"/>
  <c r="T90" i="11"/>
  <c r="U90" i="11" s="1"/>
  <c r="V90" i="11" s="1"/>
  <c r="S90" i="11"/>
  <c r="Q90" i="11"/>
  <c r="O90" i="11"/>
  <c r="M90" i="11"/>
  <c r="G90" i="11"/>
  <c r="F90" i="11"/>
  <c r="E90" i="11"/>
  <c r="C90" i="11"/>
  <c r="B90" i="11"/>
  <c r="Z89" i="11"/>
  <c r="T89" i="11"/>
  <c r="U89" i="11" s="1"/>
  <c r="V89" i="11" s="1"/>
  <c r="S89" i="11"/>
  <c r="Q89" i="11"/>
  <c r="O89" i="11"/>
  <c r="M89" i="11"/>
  <c r="G89" i="11"/>
  <c r="F89" i="11"/>
  <c r="E89" i="11"/>
  <c r="C89" i="11"/>
  <c r="B89" i="11"/>
  <c r="Z88" i="11"/>
  <c r="T88" i="11"/>
  <c r="U88" i="11" s="1"/>
  <c r="V88" i="11" s="1"/>
  <c r="S88" i="11"/>
  <c r="Q88" i="11"/>
  <c r="O88" i="11"/>
  <c r="M88" i="11"/>
  <c r="G88" i="11"/>
  <c r="F88" i="11"/>
  <c r="E88" i="11"/>
  <c r="C88" i="11"/>
  <c r="B88" i="11"/>
  <c r="Z87" i="11"/>
  <c r="T87" i="11"/>
  <c r="U87" i="11" s="1"/>
  <c r="V87" i="11" s="1"/>
  <c r="S87" i="11"/>
  <c r="Q87" i="11"/>
  <c r="O87" i="11"/>
  <c r="M87" i="11"/>
  <c r="G87" i="11"/>
  <c r="F87" i="11"/>
  <c r="E87" i="11"/>
  <c r="C87" i="11"/>
  <c r="B87" i="11"/>
  <c r="Z86" i="11"/>
  <c r="T86" i="11"/>
  <c r="U86" i="11" s="1"/>
  <c r="V86" i="11" s="1"/>
  <c r="S86" i="11"/>
  <c r="Q86" i="11"/>
  <c r="O86" i="11"/>
  <c r="M86" i="11"/>
  <c r="G86" i="11"/>
  <c r="F86" i="11"/>
  <c r="E86" i="11"/>
  <c r="C86" i="11"/>
  <c r="B86" i="11"/>
  <c r="Z85" i="11"/>
  <c r="T85" i="11"/>
  <c r="U85" i="11" s="1"/>
  <c r="V85" i="11" s="1"/>
  <c r="S85" i="11"/>
  <c r="Q85" i="11"/>
  <c r="O85" i="11"/>
  <c r="M85" i="11"/>
  <c r="G85" i="11"/>
  <c r="F85" i="11"/>
  <c r="E85" i="11"/>
  <c r="C85" i="11"/>
  <c r="B85" i="11"/>
  <c r="Z84" i="11"/>
  <c r="T84" i="11"/>
  <c r="U84" i="11" s="1"/>
  <c r="V84" i="11" s="1"/>
  <c r="S84" i="11"/>
  <c r="Q84" i="11"/>
  <c r="O84" i="11"/>
  <c r="M84" i="11"/>
  <c r="G84" i="11"/>
  <c r="F84" i="11"/>
  <c r="E84" i="11"/>
  <c r="C84" i="11"/>
  <c r="B84" i="11"/>
  <c r="Z83" i="11"/>
  <c r="T83" i="11"/>
  <c r="U83" i="11" s="1"/>
  <c r="V83" i="11" s="1"/>
  <c r="S83" i="11"/>
  <c r="Q83" i="11"/>
  <c r="O83" i="11"/>
  <c r="M83" i="11"/>
  <c r="G83" i="11"/>
  <c r="F83" i="11"/>
  <c r="E83" i="11"/>
  <c r="C83" i="11"/>
  <c r="B83" i="11"/>
  <c r="Z82" i="11"/>
  <c r="T82" i="11"/>
  <c r="U82" i="11" s="1"/>
  <c r="V82" i="11" s="1"/>
  <c r="S82" i="11"/>
  <c r="Q82" i="11"/>
  <c r="O82" i="11"/>
  <c r="M82" i="11"/>
  <c r="G82" i="11"/>
  <c r="F82" i="11"/>
  <c r="E82" i="11"/>
  <c r="C82" i="11"/>
  <c r="B82" i="11"/>
  <c r="Z81" i="11"/>
  <c r="T81" i="11"/>
  <c r="U81" i="11" s="1"/>
  <c r="V81" i="11" s="1"/>
  <c r="S81" i="11"/>
  <c r="Q81" i="11"/>
  <c r="O81" i="11"/>
  <c r="M81" i="11"/>
  <c r="G81" i="11"/>
  <c r="F81" i="11"/>
  <c r="E81" i="11"/>
  <c r="C81" i="11"/>
  <c r="B81" i="11"/>
  <c r="Z80" i="11"/>
  <c r="T80" i="11"/>
  <c r="U80" i="11" s="1"/>
  <c r="V80" i="11" s="1"/>
  <c r="S80" i="11"/>
  <c r="Q80" i="11"/>
  <c r="O80" i="11"/>
  <c r="M80" i="11"/>
  <c r="G80" i="11"/>
  <c r="F80" i="11"/>
  <c r="E80" i="11"/>
  <c r="C80" i="11"/>
  <c r="B80" i="11"/>
  <c r="Z79" i="11"/>
  <c r="T79" i="11"/>
  <c r="U79" i="11" s="1"/>
  <c r="V79" i="11" s="1"/>
  <c r="S79" i="11"/>
  <c r="Q79" i="11"/>
  <c r="O79" i="11"/>
  <c r="M79" i="11"/>
  <c r="G79" i="11"/>
  <c r="F79" i="11"/>
  <c r="E79" i="11"/>
  <c r="C79" i="11"/>
  <c r="B79" i="11"/>
  <c r="Z78" i="11"/>
  <c r="T78" i="11"/>
  <c r="U78" i="11" s="1"/>
  <c r="V78" i="11" s="1"/>
  <c r="S78" i="11"/>
  <c r="Q78" i="11"/>
  <c r="O78" i="11"/>
  <c r="M78" i="11"/>
  <c r="G78" i="11"/>
  <c r="F78" i="11"/>
  <c r="E78" i="11"/>
  <c r="C78" i="11"/>
  <c r="B78" i="11"/>
  <c r="Z77" i="11"/>
  <c r="T77" i="11"/>
  <c r="U77" i="11" s="1"/>
  <c r="V77" i="11" s="1"/>
  <c r="S77" i="11"/>
  <c r="Q77" i="11"/>
  <c r="O77" i="11"/>
  <c r="M77" i="11"/>
  <c r="G77" i="11"/>
  <c r="F77" i="11"/>
  <c r="E77" i="11"/>
  <c r="C77" i="11"/>
  <c r="B77" i="11"/>
  <c r="Z76" i="11"/>
  <c r="T76" i="11"/>
  <c r="U76" i="11" s="1"/>
  <c r="V76" i="11" s="1"/>
  <c r="S76" i="11"/>
  <c r="Q76" i="11"/>
  <c r="O76" i="11"/>
  <c r="M76" i="11"/>
  <c r="G76" i="11"/>
  <c r="F76" i="11"/>
  <c r="E76" i="11"/>
  <c r="C76" i="11"/>
  <c r="B76" i="11"/>
  <c r="Z75" i="11"/>
  <c r="T75" i="11"/>
  <c r="U75" i="11" s="1"/>
  <c r="V75" i="11" s="1"/>
  <c r="S75" i="11"/>
  <c r="Q75" i="11"/>
  <c r="O75" i="11"/>
  <c r="M75" i="11"/>
  <c r="G75" i="11"/>
  <c r="F75" i="11"/>
  <c r="E75" i="11"/>
  <c r="C75" i="11"/>
  <c r="B75" i="11"/>
  <c r="Z74" i="11"/>
  <c r="T74" i="11"/>
  <c r="U74" i="11" s="1"/>
  <c r="V74" i="11" s="1"/>
  <c r="S74" i="11"/>
  <c r="Q74" i="11"/>
  <c r="O74" i="11"/>
  <c r="M74" i="11"/>
  <c r="G74" i="11"/>
  <c r="F74" i="11"/>
  <c r="E74" i="11"/>
  <c r="C74" i="11"/>
  <c r="B74" i="11"/>
  <c r="Z73" i="11"/>
  <c r="T73" i="11"/>
  <c r="U73" i="11" s="1"/>
  <c r="V73" i="11" s="1"/>
  <c r="S73" i="11"/>
  <c r="Q73" i="11"/>
  <c r="O73" i="11"/>
  <c r="M73" i="11"/>
  <c r="G73" i="11"/>
  <c r="F73" i="11"/>
  <c r="E73" i="11"/>
  <c r="C73" i="11"/>
  <c r="B73" i="11"/>
  <c r="Z72" i="11"/>
  <c r="T72" i="11"/>
  <c r="U72" i="11" s="1"/>
  <c r="V72" i="11" s="1"/>
  <c r="S72" i="11"/>
  <c r="Q72" i="11"/>
  <c r="O72" i="11"/>
  <c r="M72" i="11"/>
  <c r="G72" i="11"/>
  <c r="F72" i="11"/>
  <c r="E72" i="11"/>
  <c r="C72" i="11"/>
  <c r="B72" i="11"/>
  <c r="Z71" i="11"/>
  <c r="T71" i="11"/>
  <c r="U71" i="11" s="1"/>
  <c r="V71" i="11" s="1"/>
  <c r="S71" i="11"/>
  <c r="Q71" i="11"/>
  <c r="O71" i="11"/>
  <c r="M71" i="11"/>
  <c r="G71" i="11"/>
  <c r="F71" i="11"/>
  <c r="E71" i="11"/>
  <c r="C71" i="11"/>
  <c r="B71" i="11"/>
  <c r="Z70" i="11"/>
  <c r="T70" i="11"/>
  <c r="U70" i="11" s="1"/>
  <c r="V70" i="11" s="1"/>
  <c r="S70" i="11"/>
  <c r="Q70" i="11"/>
  <c r="O70" i="11"/>
  <c r="M70" i="11"/>
  <c r="G70" i="11"/>
  <c r="F70" i="11"/>
  <c r="E70" i="11"/>
  <c r="C70" i="11"/>
  <c r="B70" i="11"/>
  <c r="Z69" i="11"/>
  <c r="T69" i="11"/>
  <c r="U69" i="11" s="1"/>
  <c r="V69" i="11" s="1"/>
  <c r="S69" i="11"/>
  <c r="Q69" i="11"/>
  <c r="O69" i="11"/>
  <c r="M69" i="11"/>
  <c r="G69" i="11"/>
  <c r="F69" i="11"/>
  <c r="E69" i="11"/>
  <c r="C69" i="11"/>
  <c r="B69" i="11"/>
  <c r="Z68" i="11"/>
  <c r="T68" i="11"/>
  <c r="U68" i="11" s="1"/>
  <c r="V68" i="11" s="1"/>
  <c r="S68" i="11"/>
  <c r="Q68" i="11"/>
  <c r="O68" i="11"/>
  <c r="M68" i="11"/>
  <c r="G68" i="11"/>
  <c r="F68" i="11"/>
  <c r="E68" i="11"/>
  <c r="C68" i="11"/>
  <c r="B68" i="11"/>
  <c r="Z67" i="11"/>
  <c r="T67" i="11"/>
  <c r="U67" i="11" s="1"/>
  <c r="V67" i="11" s="1"/>
  <c r="S67" i="11"/>
  <c r="Q67" i="11"/>
  <c r="O67" i="11"/>
  <c r="M67" i="11"/>
  <c r="G67" i="11"/>
  <c r="F67" i="11"/>
  <c r="E67" i="11"/>
  <c r="C67" i="11"/>
  <c r="B67" i="11"/>
  <c r="Z66" i="11"/>
  <c r="T66" i="11"/>
  <c r="U66" i="11" s="1"/>
  <c r="V66" i="11" s="1"/>
  <c r="S66" i="11"/>
  <c r="Q66" i="11"/>
  <c r="O66" i="11"/>
  <c r="M66" i="11"/>
  <c r="G66" i="11"/>
  <c r="F66" i="11"/>
  <c r="E66" i="11"/>
  <c r="C66" i="11"/>
  <c r="B66" i="11"/>
  <c r="Z65" i="11"/>
  <c r="T65" i="11"/>
  <c r="U65" i="11" s="1"/>
  <c r="V65" i="11" s="1"/>
  <c r="S65" i="11"/>
  <c r="Q65" i="11"/>
  <c r="O65" i="11"/>
  <c r="M65" i="11"/>
  <c r="G65" i="11"/>
  <c r="F65" i="11"/>
  <c r="E65" i="11"/>
  <c r="C65" i="11"/>
  <c r="B65" i="11"/>
  <c r="Z64" i="11"/>
  <c r="T64" i="11"/>
  <c r="U64" i="11" s="1"/>
  <c r="V64" i="11" s="1"/>
  <c r="S64" i="11"/>
  <c r="Q64" i="11"/>
  <c r="O64" i="11"/>
  <c r="M64" i="11"/>
  <c r="G64" i="11"/>
  <c r="F64" i="11"/>
  <c r="E64" i="11"/>
  <c r="C64" i="11"/>
  <c r="B64" i="11"/>
  <c r="Z63" i="11"/>
  <c r="T63" i="11"/>
  <c r="U63" i="11" s="1"/>
  <c r="V63" i="11" s="1"/>
  <c r="S63" i="11"/>
  <c r="Q63" i="11"/>
  <c r="O63" i="11"/>
  <c r="M63" i="11"/>
  <c r="G63" i="11"/>
  <c r="F63" i="11"/>
  <c r="E63" i="11"/>
  <c r="C63" i="11"/>
  <c r="B63" i="11"/>
  <c r="Z62" i="11"/>
  <c r="T62" i="11"/>
  <c r="U62" i="11" s="1"/>
  <c r="V62" i="11" s="1"/>
  <c r="S62" i="11"/>
  <c r="Q62" i="11"/>
  <c r="O62" i="11"/>
  <c r="M62" i="11"/>
  <c r="G62" i="11"/>
  <c r="F62" i="11"/>
  <c r="E62" i="11"/>
  <c r="C62" i="11"/>
  <c r="B62" i="11"/>
  <c r="Z61" i="11"/>
  <c r="T61" i="11"/>
  <c r="U61" i="11" s="1"/>
  <c r="V61" i="11" s="1"/>
  <c r="S61" i="11"/>
  <c r="Q61" i="11"/>
  <c r="O61" i="11"/>
  <c r="M61" i="11"/>
  <c r="G61" i="11"/>
  <c r="F61" i="11"/>
  <c r="E61" i="11"/>
  <c r="C61" i="11"/>
  <c r="B61" i="11"/>
  <c r="Z60" i="11"/>
  <c r="T60" i="11"/>
  <c r="U60" i="11" s="1"/>
  <c r="V60" i="11" s="1"/>
  <c r="S60" i="11"/>
  <c r="Q60" i="11"/>
  <c r="O60" i="11"/>
  <c r="M60" i="11"/>
  <c r="G60" i="11"/>
  <c r="F60" i="11"/>
  <c r="E60" i="11"/>
  <c r="C60" i="11"/>
  <c r="B60" i="11"/>
  <c r="Z59" i="11"/>
  <c r="T59" i="11"/>
  <c r="U59" i="11" s="1"/>
  <c r="V59" i="11" s="1"/>
  <c r="S59" i="11"/>
  <c r="Q59" i="11"/>
  <c r="O59" i="11"/>
  <c r="M59" i="11"/>
  <c r="G59" i="11"/>
  <c r="F59" i="11"/>
  <c r="E59" i="11"/>
  <c r="C59" i="11"/>
  <c r="B59" i="11"/>
  <c r="Z58" i="11"/>
  <c r="T58" i="11"/>
  <c r="U58" i="11" s="1"/>
  <c r="V58" i="11" s="1"/>
  <c r="S58" i="11"/>
  <c r="Q58" i="11"/>
  <c r="O58" i="11"/>
  <c r="M58" i="11"/>
  <c r="G58" i="11"/>
  <c r="F58" i="11"/>
  <c r="E58" i="11"/>
  <c r="C58" i="11"/>
  <c r="B58" i="11"/>
  <c r="Z57" i="11"/>
  <c r="T57" i="11"/>
  <c r="U57" i="11" s="1"/>
  <c r="V57" i="11" s="1"/>
  <c r="S57" i="11"/>
  <c r="Q57" i="11"/>
  <c r="O57" i="11"/>
  <c r="M57" i="11"/>
  <c r="G57" i="11"/>
  <c r="F57" i="11"/>
  <c r="E57" i="11"/>
  <c r="C57" i="11"/>
  <c r="B57" i="11"/>
  <c r="Z56" i="11"/>
  <c r="T56" i="11"/>
  <c r="U56" i="11" s="1"/>
  <c r="V56" i="11" s="1"/>
  <c r="S56" i="11"/>
  <c r="Q56" i="11"/>
  <c r="O56" i="11"/>
  <c r="M56" i="11"/>
  <c r="G56" i="11"/>
  <c r="F56" i="11"/>
  <c r="E56" i="11"/>
  <c r="C56" i="11"/>
  <c r="B56" i="11"/>
  <c r="Z55" i="11"/>
  <c r="T55" i="11"/>
  <c r="U55" i="11" s="1"/>
  <c r="V55" i="11" s="1"/>
  <c r="S55" i="11"/>
  <c r="Q55" i="11"/>
  <c r="O55" i="11"/>
  <c r="M55" i="11"/>
  <c r="G55" i="11"/>
  <c r="F55" i="11"/>
  <c r="E55" i="11"/>
  <c r="C55" i="11"/>
  <c r="B55" i="11"/>
  <c r="Z54" i="11"/>
  <c r="T54" i="11"/>
  <c r="U54" i="11" s="1"/>
  <c r="V54" i="11" s="1"/>
  <c r="S54" i="11"/>
  <c r="Q54" i="11"/>
  <c r="O54" i="11"/>
  <c r="M54" i="11"/>
  <c r="G54" i="11"/>
  <c r="F54" i="11"/>
  <c r="E54" i="11"/>
  <c r="C54" i="11"/>
  <c r="B54" i="11"/>
  <c r="Z53" i="11"/>
  <c r="T53" i="11"/>
  <c r="U53" i="11" s="1"/>
  <c r="V53" i="11" s="1"/>
  <c r="S53" i="11"/>
  <c r="Q53" i="11"/>
  <c r="O53" i="11"/>
  <c r="M53" i="11"/>
  <c r="G53" i="11"/>
  <c r="F53" i="11"/>
  <c r="E53" i="11"/>
  <c r="C53" i="11"/>
  <c r="B53" i="11"/>
  <c r="Z52" i="11"/>
  <c r="T52" i="11"/>
  <c r="U52" i="11" s="1"/>
  <c r="V52" i="11" s="1"/>
  <c r="S52" i="11"/>
  <c r="Q52" i="11"/>
  <c r="O52" i="11"/>
  <c r="M52" i="11"/>
  <c r="G52" i="11"/>
  <c r="F52" i="11"/>
  <c r="E52" i="11"/>
  <c r="C52" i="11"/>
  <c r="B52" i="11"/>
  <c r="Z51" i="11"/>
  <c r="T51" i="11"/>
  <c r="U51" i="11" s="1"/>
  <c r="V51" i="11" s="1"/>
  <c r="S51" i="11"/>
  <c r="Q51" i="11"/>
  <c r="O51" i="11"/>
  <c r="M51" i="11"/>
  <c r="G51" i="11"/>
  <c r="F51" i="11"/>
  <c r="E51" i="11"/>
  <c r="C51" i="11"/>
  <c r="B51" i="11"/>
  <c r="Z50" i="11"/>
  <c r="T50" i="11"/>
  <c r="U50" i="11" s="1"/>
  <c r="V50" i="11" s="1"/>
  <c r="S50" i="11"/>
  <c r="Q50" i="11"/>
  <c r="O50" i="11"/>
  <c r="M50" i="11"/>
  <c r="G50" i="11"/>
  <c r="F50" i="11"/>
  <c r="E50" i="11"/>
  <c r="C50" i="11"/>
  <c r="B50" i="11"/>
  <c r="Z49" i="11"/>
  <c r="T49" i="11"/>
  <c r="U49" i="11" s="1"/>
  <c r="V49" i="11" s="1"/>
  <c r="S49" i="11"/>
  <c r="Q49" i="11"/>
  <c r="O49" i="11"/>
  <c r="M49" i="11"/>
  <c r="G49" i="11"/>
  <c r="F49" i="11"/>
  <c r="E49" i="11"/>
  <c r="C49" i="11"/>
  <c r="B49" i="11"/>
  <c r="Z48" i="11"/>
  <c r="T48" i="11"/>
  <c r="U48" i="11" s="1"/>
  <c r="V48" i="11" s="1"/>
  <c r="S48" i="11"/>
  <c r="Q48" i="11"/>
  <c r="O48" i="11"/>
  <c r="M48" i="11"/>
  <c r="G48" i="11"/>
  <c r="F48" i="11"/>
  <c r="E48" i="11"/>
  <c r="C48" i="11"/>
  <c r="B48" i="11"/>
  <c r="Z47" i="11"/>
  <c r="T47" i="11"/>
  <c r="U47" i="11" s="1"/>
  <c r="V47" i="11" s="1"/>
  <c r="S47" i="11"/>
  <c r="Q47" i="11"/>
  <c r="O47" i="11"/>
  <c r="M47" i="11"/>
  <c r="G47" i="11"/>
  <c r="F47" i="11"/>
  <c r="E47" i="11"/>
  <c r="C47" i="11"/>
  <c r="B47" i="11"/>
  <c r="Z46" i="11"/>
  <c r="T46" i="11"/>
  <c r="U46" i="11" s="1"/>
  <c r="V46" i="11" s="1"/>
  <c r="S46" i="11"/>
  <c r="Q46" i="11"/>
  <c r="O46" i="11"/>
  <c r="M46" i="11"/>
  <c r="G46" i="11"/>
  <c r="F46" i="11"/>
  <c r="E46" i="11"/>
  <c r="C46" i="11"/>
  <c r="B46" i="11"/>
  <c r="Z45" i="11"/>
  <c r="T45" i="11"/>
  <c r="U45" i="11" s="1"/>
  <c r="V45" i="11" s="1"/>
  <c r="S45" i="11"/>
  <c r="Q45" i="11"/>
  <c r="O45" i="11"/>
  <c r="M45" i="11"/>
  <c r="G45" i="11"/>
  <c r="F45" i="11"/>
  <c r="E45" i="11"/>
  <c r="C45" i="11"/>
  <c r="B45" i="11"/>
  <c r="Z44" i="11"/>
  <c r="T44" i="11"/>
  <c r="U44" i="11" s="1"/>
  <c r="V44" i="11" s="1"/>
  <c r="S44" i="11"/>
  <c r="Q44" i="11"/>
  <c r="O44" i="11"/>
  <c r="M44" i="11"/>
  <c r="G44" i="11"/>
  <c r="F44" i="11"/>
  <c r="E44" i="11"/>
  <c r="C44" i="11"/>
  <c r="B44" i="11"/>
  <c r="Z43" i="11"/>
  <c r="T43" i="11"/>
  <c r="U43" i="11" s="1"/>
  <c r="V43" i="11" s="1"/>
  <c r="S43" i="11"/>
  <c r="Q43" i="11"/>
  <c r="O43" i="11"/>
  <c r="M43" i="11"/>
  <c r="G43" i="11"/>
  <c r="F43" i="11"/>
  <c r="E43" i="11"/>
  <c r="C43" i="11"/>
  <c r="B43" i="11"/>
  <c r="Z42" i="11"/>
  <c r="T42" i="11"/>
  <c r="U42" i="11" s="1"/>
  <c r="V42" i="11" s="1"/>
  <c r="S42" i="11"/>
  <c r="Q42" i="11"/>
  <c r="O42" i="11"/>
  <c r="M42" i="11"/>
  <c r="G42" i="11"/>
  <c r="F42" i="11"/>
  <c r="E42" i="11"/>
  <c r="C42" i="11"/>
  <c r="B42" i="11"/>
  <c r="Z41" i="11"/>
  <c r="T41" i="11"/>
  <c r="U41" i="11" s="1"/>
  <c r="V41" i="11" s="1"/>
  <c r="S41" i="11"/>
  <c r="Q41" i="11"/>
  <c r="O41" i="11"/>
  <c r="M41" i="11"/>
  <c r="G41" i="11"/>
  <c r="F41" i="11"/>
  <c r="E41" i="11"/>
  <c r="C41" i="11"/>
  <c r="B41" i="11"/>
  <c r="Z40" i="11"/>
  <c r="T40" i="11"/>
  <c r="U40" i="11" s="1"/>
  <c r="V40" i="11" s="1"/>
  <c r="S40" i="11"/>
  <c r="Q40" i="11"/>
  <c r="O40" i="11"/>
  <c r="M40" i="11"/>
  <c r="G40" i="11"/>
  <c r="F40" i="11"/>
  <c r="E40" i="11"/>
  <c r="C40" i="11"/>
  <c r="B40" i="11"/>
  <c r="Z39" i="11"/>
  <c r="T39" i="11"/>
  <c r="U39" i="11" s="1"/>
  <c r="V39" i="11" s="1"/>
  <c r="S39" i="11"/>
  <c r="Q39" i="11"/>
  <c r="O39" i="11"/>
  <c r="M39" i="11"/>
  <c r="G39" i="11"/>
  <c r="F39" i="11"/>
  <c r="E39" i="11"/>
  <c r="C39" i="11"/>
  <c r="B39" i="11"/>
  <c r="Z38" i="11"/>
  <c r="T38" i="11"/>
  <c r="U38" i="11" s="1"/>
  <c r="V38" i="11" s="1"/>
  <c r="S38" i="11"/>
  <c r="Q38" i="11"/>
  <c r="O38" i="11"/>
  <c r="M38" i="11"/>
  <c r="G38" i="11"/>
  <c r="F38" i="11"/>
  <c r="E38" i="11"/>
  <c r="C38" i="11"/>
  <c r="B38" i="11"/>
  <c r="Z37" i="11"/>
  <c r="T37" i="11"/>
  <c r="U37" i="11" s="1"/>
  <c r="V37" i="11" s="1"/>
  <c r="S37" i="11"/>
  <c r="Q37" i="11"/>
  <c r="O37" i="11"/>
  <c r="M37" i="11"/>
  <c r="G37" i="11"/>
  <c r="F37" i="11"/>
  <c r="E37" i="11"/>
  <c r="C37" i="11"/>
  <c r="B37" i="11"/>
  <c r="Z36" i="11"/>
  <c r="T36" i="11"/>
  <c r="U36" i="11" s="1"/>
  <c r="V36" i="11" s="1"/>
  <c r="S36" i="11"/>
  <c r="Q36" i="11"/>
  <c r="O36" i="11"/>
  <c r="M36" i="11"/>
  <c r="G36" i="11"/>
  <c r="F36" i="11"/>
  <c r="E36" i="11"/>
  <c r="C36" i="11"/>
  <c r="B36" i="11"/>
  <c r="Z35" i="11"/>
  <c r="T35" i="11"/>
  <c r="U35" i="11" s="1"/>
  <c r="V35" i="11" s="1"/>
  <c r="S35" i="11"/>
  <c r="Q35" i="11"/>
  <c r="O35" i="11"/>
  <c r="M35" i="11"/>
  <c r="G35" i="11"/>
  <c r="F35" i="11"/>
  <c r="E35" i="11"/>
  <c r="C35" i="11"/>
  <c r="B35" i="11"/>
  <c r="Z34" i="11"/>
  <c r="T34" i="11"/>
  <c r="U34" i="11" s="1"/>
  <c r="V34" i="11" s="1"/>
  <c r="S34" i="11"/>
  <c r="Q34" i="11"/>
  <c r="O34" i="11"/>
  <c r="M34" i="11"/>
  <c r="G34" i="11"/>
  <c r="F34" i="11"/>
  <c r="E34" i="11"/>
  <c r="C34" i="11"/>
  <c r="B34" i="11"/>
  <c r="Z33" i="11"/>
  <c r="T33" i="11"/>
  <c r="U33" i="11" s="1"/>
  <c r="V33" i="11" s="1"/>
  <c r="S33" i="11"/>
  <c r="Q33" i="11"/>
  <c r="O33" i="11"/>
  <c r="M33" i="11"/>
  <c r="G33" i="11"/>
  <c r="F33" i="11"/>
  <c r="E33" i="11"/>
  <c r="C33" i="11"/>
  <c r="B33" i="11"/>
  <c r="Z32" i="11"/>
  <c r="T32" i="11"/>
  <c r="U32" i="11" s="1"/>
  <c r="V32" i="11" s="1"/>
  <c r="S32" i="11"/>
  <c r="Q32" i="11"/>
  <c r="O32" i="11"/>
  <c r="M32" i="11"/>
  <c r="G32" i="11"/>
  <c r="F32" i="11"/>
  <c r="E32" i="11"/>
  <c r="C32" i="11"/>
  <c r="B32" i="11"/>
  <c r="Z31" i="11"/>
  <c r="T31" i="11"/>
  <c r="U31" i="11" s="1"/>
  <c r="V31" i="11" s="1"/>
  <c r="S31" i="11"/>
  <c r="Q31" i="11"/>
  <c r="O31" i="11"/>
  <c r="M31" i="11"/>
  <c r="G31" i="11"/>
  <c r="F31" i="11"/>
  <c r="E31" i="11"/>
  <c r="C31" i="11"/>
  <c r="B31" i="11"/>
  <c r="Z30" i="11"/>
  <c r="T30" i="11"/>
  <c r="U30" i="11" s="1"/>
  <c r="V30" i="11" s="1"/>
  <c r="S30" i="11"/>
  <c r="Q30" i="11"/>
  <c r="O30" i="11"/>
  <c r="M30" i="11"/>
  <c r="G30" i="11"/>
  <c r="F30" i="11"/>
  <c r="E30" i="11"/>
  <c r="C30" i="11"/>
  <c r="B30" i="11"/>
  <c r="Z29" i="11"/>
  <c r="T29" i="11"/>
  <c r="U29" i="11" s="1"/>
  <c r="V29" i="11" s="1"/>
  <c r="S29" i="11"/>
  <c r="Q29" i="11"/>
  <c r="O29" i="11"/>
  <c r="M29" i="11"/>
  <c r="G29" i="11"/>
  <c r="F29" i="11"/>
  <c r="E29" i="11"/>
  <c r="C29" i="11"/>
  <c r="B29" i="11"/>
  <c r="Z28" i="11"/>
  <c r="T28" i="11"/>
  <c r="U28" i="11" s="1"/>
  <c r="V28" i="11" s="1"/>
  <c r="S28" i="11"/>
  <c r="Q28" i="11"/>
  <c r="O28" i="11"/>
  <c r="M28" i="11"/>
  <c r="G28" i="11"/>
  <c r="F28" i="11"/>
  <c r="E28" i="11"/>
  <c r="C28" i="11"/>
  <c r="B28" i="11"/>
  <c r="Z27" i="11"/>
  <c r="T27" i="11"/>
  <c r="U27" i="11" s="1"/>
  <c r="V27" i="11" s="1"/>
  <c r="S27" i="11"/>
  <c r="Q27" i="11"/>
  <c r="O27" i="11"/>
  <c r="M27" i="11"/>
  <c r="G27" i="11"/>
  <c r="F27" i="11"/>
  <c r="E27" i="11"/>
  <c r="C27" i="11"/>
  <c r="B27" i="11"/>
  <c r="Z26" i="11"/>
  <c r="T26" i="11"/>
  <c r="U26" i="11" s="1"/>
  <c r="V26" i="11" s="1"/>
  <c r="S26" i="11"/>
  <c r="Q26" i="11"/>
  <c r="O26" i="11"/>
  <c r="M26" i="11"/>
  <c r="G26" i="11"/>
  <c r="F26" i="11"/>
  <c r="E26" i="11"/>
  <c r="C26" i="11"/>
  <c r="B26" i="11"/>
  <c r="Z25" i="11"/>
  <c r="T25" i="11"/>
  <c r="U25" i="11" s="1"/>
  <c r="V25" i="11" s="1"/>
  <c r="S25" i="11"/>
  <c r="Q25" i="11"/>
  <c r="O25" i="11"/>
  <c r="M25" i="11"/>
  <c r="G25" i="11"/>
  <c r="F25" i="11"/>
  <c r="E25" i="11"/>
  <c r="C25" i="11"/>
  <c r="B25" i="11"/>
  <c r="Z24" i="11"/>
  <c r="T24" i="11"/>
  <c r="U24" i="11" s="1"/>
  <c r="V24" i="11" s="1"/>
  <c r="S24" i="11"/>
  <c r="Q24" i="11"/>
  <c r="O24" i="11"/>
  <c r="M24" i="11"/>
  <c r="G24" i="11"/>
  <c r="F24" i="11"/>
  <c r="E24" i="11"/>
  <c r="C24" i="11"/>
  <c r="B24" i="11"/>
  <c r="Z23" i="11"/>
  <c r="T23" i="11"/>
  <c r="U23" i="11" s="1"/>
  <c r="V23" i="11" s="1"/>
  <c r="S23" i="11"/>
  <c r="Q23" i="11"/>
  <c r="O23" i="11"/>
  <c r="M23" i="11"/>
  <c r="G23" i="11"/>
  <c r="F23" i="11"/>
  <c r="E23" i="11"/>
  <c r="C23" i="11"/>
  <c r="B23" i="11"/>
  <c r="Z22" i="11"/>
  <c r="T22" i="11"/>
  <c r="U22" i="11" s="1"/>
  <c r="V22" i="11" s="1"/>
  <c r="S22" i="11"/>
  <c r="Q22" i="11"/>
  <c r="O22" i="11"/>
  <c r="M22" i="11"/>
  <c r="G22" i="11"/>
  <c r="F22" i="11"/>
  <c r="E22" i="11"/>
  <c r="C22" i="11"/>
  <c r="B22" i="11"/>
  <c r="Z21" i="11"/>
  <c r="T21" i="11"/>
  <c r="U21" i="11" s="1"/>
  <c r="V21" i="11" s="1"/>
  <c r="S21" i="11"/>
  <c r="Q21" i="11"/>
  <c r="O21" i="11"/>
  <c r="M21" i="11"/>
  <c r="G21" i="11"/>
  <c r="F21" i="11"/>
  <c r="E21" i="11"/>
  <c r="C21" i="11"/>
  <c r="B21" i="11"/>
  <c r="Z20" i="11"/>
  <c r="T20" i="11"/>
  <c r="U20" i="11" s="1"/>
  <c r="V20" i="11" s="1"/>
  <c r="S20" i="11"/>
  <c r="Q20" i="11"/>
  <c r="O20" i="11"/>
  <c r="M20" i="11"/>
  <c r="G20" i="11"/>
  <c r="F20" i="11"/>
  <c r="E20" i="11"/>
  <c r="C20" i="11"/>
  <c r="B20" i="11"/>
  <c r="Z19" i="11"/>
  <c r="T19" i="11"/>
  <c r="U19" i="11" s="1"/>
  <c r="V19" i="11" s="1"/>
  <c r="S19" i="11"/>
  <c r="Q19" i="11"/>
  <c r="O19" i="11"/>
  <c r="M19" i="11"/>
  <c r="G19" i="11"/>
  <c r="F19" i="11"/>
  <c r="E19" i="11"/>
  <c r="C19" i="11"/>
  <c r="B19" i="11"/>
  <c r="Z18" i="11"/>
  <c r="T18" i="11"/>
  <c r="U18" i="11" s="1"/>
  <c r="V18" i="11" s="1"/>
  <c r="S18" i="11"/>
  <c r="Q18" i="11"/>
  <c r="O18" i="11"/>
  <c r="M18" i="11"/>
  <c r="G18" i="11"/>
  <c r="F18" i="11"/>
  <c r="E18" i="11"/>
  <c r="C18" i="11"/>
  <c r="B18" i="11"/>
  <c r="Z17" i="11"/>
  <c r="T17" i="11"/>
  <c r="U17" i="11" s="1"/>
  <c r="V17" i="11" s="1"/>
  <c r="S17" i="11"/>
  <c r="Q17" i="11"/>
  <c r="O17" i="11"/>
  <c r="M17" i="11"/>
  <c r="G17" i="11"/>
  <c r="F17" i="11"/>
  <c r="E17" i="11"/>
  <c r="C17" i="11"/>
  <c r="B17" i="11"/>
  <c r="Z16" i="11"/>
  <c r="T16" i="11"/>
  <c r="U16" i="11" s="1"/>
  <c r="V16" i="11" s="1"/>
  <c r="S16" i="11"/>
  <c r="Q16" i="11"/>
  <c r="O16" i="11"/>
  <c r="M16" i="11"/>
  <c r="G16" i="11"/>
  <c r="F16" i="11"/>
  <c r="E16" i="11"/>
  <c r="C16" i="11"/>
  <c r="B16" i="11"/>
  <c r="Z15" i="11"/>
  <c r="T15" i="11"/>
  <c r="U15" i="11" s="1"/>
  <c r="V15" i="11" s="1"/>
  <c r="S15" i="11"/>
  <c r="Q15" i="11"/>
  <c r="O15" i="11"/>
  <c r="M15" i="11"/>
  <c r="G15" i="11"/>
  <c r="F15" i="11"/>
  <c r="E15" i="11"/>
  <c r="C15" i="11"/>
  <c r="B15" i="11"/>
  <c r="Z14" i="11"/>
  <c r="T14" i="11"/>
  <c r="U14" i="11" s="1"/>
  <c r="V14" i="11" s="1"/>
  <c r="S14" i="11"/>
  <c r="Q14" i="11"/>
  <c r="O14" i="11"/>
  <c r="M14" i="11"/>
  <c r="G14" i="11"/>
  <c r="F14" i="11"/>
  <c r="E14" i="11"/>
  <c r="C14" i="11"/>
  <c r="B14" i="11"/>
  <c r="Z13" i="11"/>
  <c r="T13" i="11"/>
  <c r="U13" i="11" s="1"/>
  <c r="V13" i="11" s="1"/>
  <c r="S13" i="11"/>
  <c r="Q13" i="11"/>
  <c r="O13" i="11"/>
  <c r="M13" i="11"/>
  <c r="G13" i="11"/>
  <c r="F13" i="11"/>
  <c r="E13" i="11"/>
  <c r="C13" i="11"/>
  <c r="B13" i="11"/>
  <c r="Z12" i="11"/>
  <c r="T12" i="11"/>
  <c r="U12" i="11" s="1"/>
  <c r="V12" i="11" s="1"/>
  <c r="S12" i="11"/>
  <c r="Q12" i="11"/>
  <c r="O12" i="11"/>
  <c r="M12" i="11"/>
  <c r="G12" i="11"/>
  <c r="F12" i="11"/>
  <c r="E12" i="11"/>
  <c r="C12" i="11"/>
  <c r="B12" i="11"/>
  <c r="Z11" i="11"/>
  <c r="T11" i="11"/>
  <c r="U11" i="11" s="1"/>
  <c r="V11" i="11" s="1"/>
  <c r="S11" i="11"/>
  <c r="Q11" i="11"/>
  <c r="O11" i="11"/>
  <c r="M11" i="11"/>
  <c r="G11" i="11"/>
  <c r="F11" i="11"/>
  <c r="E11" i="11"/>
  <c r="C11" i="11"/>
  <c r="B11" i="11"/>
  <c r="Z10" i="11"/>
  <c r="T10" i="11"/>
  <c r="U10" i="11" s="1"/>
  <c r="V10" i="11" s="1"/>
  <c r="S10" i="11"/>
  <c r="Q10" i="11"/>
  <c r="O10" i="11"/>
  <c r="M10" i="11"/>
  <c r="G10" i="11"/>
  <c r="F10" i="11"/>
  <c r="E10" i="11"/>
  <c r="C10" i="11"/>
  <c r="B10" i="11"/>
  <c r="Z9" i="11"/>
  <c r="T9" i="11"/>
  <c r="U9" i="11" s="1"/>
  <c r="V9" i="11" s="1"/>
  <c r="S9" i="11"/>
  <c r="Q9" i="11"/>
  <c r="O9" i="11"/>
  <c r="M9" i="11"/>
  <c r="G9" i="11"/>
  <c r="F9" i="11"/>
  <c r="E9" i="11"/>
  <c r="C9" i="11"/>
  <c r="B9" i="11"/>
  <c r="Z8" i="11"/>
  <c r="T8" i="11"/>
  <c r="U8" i="11" s="1"/>
  <c r="V8" i="11" s="1"/>
  <c r="S8" i="11"/>
  <c r="Q8" i="11"/>
  <c r="O8" i="11"/>
  <c r="M8" i="11"/>
  <c r="G8" i="11"/>
  <c r="F8" i="11"/>
  <c r="E8" i="11"/>
  <c r="C8" i="11"/>
  <c r="B8" i="11"/>
  <c r="Z7" i="11"/>
  <c r="T7" i="11"/>
  <c r="U7" i="11" s="1"/>
  <c r="V7" i="11" s="1"/>
  <c r="S7" i="11"/>
  <c r="Q7" i="11"/>
  <c r="O7" i="11"/>
  <c r="M7" i="11"/>
  <c r="G7" i="11"/>
  <c r="F7" i="11"/>
  <c r="E7" i="11"/>
  <c r="C7" i="11"/>
  <c r="B7" i="11"/>
  <c r="Z6" i="11"/>
  <c r="T6" i="11"/>
  <c r="U6" i="11" s="1"/>
  <c r="V6" i="11" s="1"/>
  <c r="S6" i="11"/>
  <c r="Q6" i="11"/>
  <c r="O6" i="11"/>
  <c r="M6" i="11"/>
  <c r="G6" i="11"/>
  <c r="F6" i="11"/>
  <c r="E6" i="11"/>
  <c r="C6" i="11"/>
  <c r="B6" i="11"/>
  <c r="Z5" i="11"/>
  <c r="T5" i="11"/>
  <c r="U5" i="11" s="1"/>
  <c r="V5" i="11" s="1"/>
  <c r="S5" i="11"/>
  <c r="Q5" i="11"/>
  <c r="O5" i="11"/>
  <c r="M5" i="11"/>
  <c r="G5" i="11"/>
  <c r="F5" i="11"/>
  <c r="E5" i="11"/>
  <c r="C5" i="11"/>
  <c r="B5" i="11"/>
  <c r="Z4" i="11"/>
  <c r="T4" i="11"/>
  <c r="U4" i="11" s="1"/>
  <c r="V4" i="11" s="1"/>
  <c r="S4" i="11"/>
  <c r="Q4" i="11"/>
  <c r="O4" i="11"/>
  <c r="M4" i="11"/>
  <c r="G4" i="11"/>
  <c r="F4" i="11"/>
  <c r="E4" i="11"/>
  <c r="C4" i="11"/>
  <c r="B4" i="11"/>
  <c r="Z3" i="11"/>
  <c r="T3" i="11"/>
  <c r="U3" i="11" s="1"/>
  <c r="V3" i="11" s="1"/>
  <c r="S3" i="11"/>
  <c r="Q3" i="11"/>
  <c r="O3" i="11"/>
  <c r="M3" i="11"/>
  <c r="G3" i="11"/>
  <c r="F3" i="11"/>
  <c r="E3" i="11"/>
  <c r="C3" i="11"/>
  <c r="B3" i="11"/>
  <c r="Z2" i="11"/>
  <c r="T2" i="11"/>
  <c r="U2" i="11" s="1"/>
  <c r="V2" i="11" s="1"/>
  <c r="S2" i="11"/>
  <c r="Q2" i="11"/>
  <c r="O2" i="11"/>
  <c r="M2" i="11"/>
  <c r="G2" i="11"/>
  <c r="F2" i="11"/>
  <c r="E2" i="11"/>
  <c r="C2" i="11"/>
  <c r="B2" i="11"/>
  <c r="Q8" i="2" l="1"/>
  <c r="R8" i="2"/>
  <c r="P8" i="2"/>
  <c r="N8" i="2"/>
  <c r="L8" i="2"/>
  <c r="DC2" i="5"/>
  <c r="R2" i="9"/>
  <c r="S2" i="9" s="1"/>
  <c r="Q2" i="9"/>
  <c r="O2" i="9"/>
  <c r="M2" i="9"/>
  <c r="R13" i="9"/>
  <c r="S13" i="9" s="1"/>
  <c r="Q13" i="9"/>
  <c r="O13" i="9"/>
  <c r="M13" i="9"/>
  <c r="K13" i="9"/>
  <c r="R12" i="9"/>
  <c r="S12" i="9" s="1"/>
  <c r="Q12" i="9"/>
  <c r="O12" i="9"/>
  <c r="M12" i="9"/>
  <c r="K12" i="9"/>
  <c r="R11" i="9"/>
  <c r="S11" i="9" s="1"/>
  <c r="Q11" i="9"/>
  <c r="O11" i="9"/>
  <c r="M11" i="9"/>
  <c r="K11" i="9"/>
  <c r="R5" i="9"/>
  <c r="S5" i="9" s="1"/>
  <c r="Q5" i="9"/>
  <c r="O5" i="9"/>
  <c r="M5" i="9"/>
  <c r="K5" i="9"/>
  <c r="R6" i="9"/>
  <c r="S6" i="9" s="1"/>
  <c r="Q6" i="9"/>
  <c r="O6" i="9"/>
  <c r="M6" i="9"/>
  <c r="K6" i="9"/>
  <c r="R4" i="9"/>
  <c r="S4" i="9" s="1"/>
  <c r="Q4" i="9"/>
  <c r="O4" i="9"/>
  <c r="M4" i="9"/>
  <c r="K4" i="9"/>
  <c r="R9" i="9"/>
  <c r="S9" i="9" s="1"/>
  <c r="Q9" i="9"/>
  <c r="O9" i="9"/>
  <c r="M9" i="9"/>
  <c r="K9" i="9"/>
  <c r="R7" i="9"/>
  <c r="S7" i="9" s="1"/>
  <c r="Q7" i="9"/>
  <c r="O7" i="9"/>
  <c r="M7" i="9"/>
  <c r="K7" i="9"/>
  <c r="R8" i="9"/>
  <c r="S8" i="9" s="1"/>
  <c r="Q8" i="9"/>
  <c r="O8" i="9"/>
  <c r="M8" i="9"/>
  <c r="K8" i="9"/>
  <c r="R10" i="9"/>
  <c r="S10" i="9" s="1"/>
  <c r="Q10" i="9"/>
  <c r="O10" i="9"/>
  <c r="M10" i="9"/>
  <c r="K10" i="9"/>
  <c r="K2" i="9"/>
  <c r="R3" i="9"/>
  <c r="S3" i="9" s="1"/>
  <c r="Q3" i="9"/>
  <c r="O3" i="9"/>
  <c r="M3" i="9"/>
  <c r="K3" i="9"/>
  <c r="Q24" i="2"/>
  <c r="R24" i="2"/>
  <c r="Q13" i="2"/>
  <c r="R13" i="2" s="1"/>
  <c r="Q14" i="2"/>
  <c r="R14" i="2" s="1"/>
  <c r="Q15" i="2"/>
  <c r="R15" i="2" s="1"/>
  <c r="Q16" i="2"/>
  <c r="R16" i="2" s="1"/>
  <c r="Q17" i="2"/>
  <c r="R17" i="2"/>
  <c r="Q18" i="2"/>
  <c r="R18" i="2" s="1"/>
  <c r="Q19" i="2"/>
  <c r="R19" i="2"/>
  <c r="P24" i="2"/>
  <c r="P13" i="2"/>
  <c r="P14" i="2"/>
  <c r="P15" i="2"/>
  <c r="P16" i="2"/>
  <c r="P17" i="2"/>
  <c r="P18" i="2"/>
  <c r="P19" i="2"/>
  <c r="N13" i="2"/>
  <c r="N14" i="2"/>
  <c r="N15" i="2"/>
  <c r="N16" i="2"/>
  <c r="N17" i="2"/>
  <c r="N18" i="2"/>
  <c r="N19" i="2"/>
  <c r="L13" i="2"/>
  <c r="L14" i="2"/>
  <c r="L15" i="2"/>
  <c r="L16" i="2"/>
  <c r="L17" i="2"/>
  <c r="L18" i="2"/>
  <c r="L19" i="2"/>
  <c r="N24" i="2"/>
  <c r="L24" i="2"/>
  <c r="J13" i="2"/>
  <c r="J14" i="2"/>
  <c r="J15" i="2"/>
  <c r="J16" i="2"/>
  <c r="J17" i="2"/>
  <c r="J18" i="2"/>
  <c r="J19" i="2"/>
  <c r="J24" i="2"/>
  <c r="J8" i="2"/>
  <c r="DF2" i="5"/>
  <c r="DE2" i="5"/>
  <c r="DD2" i="5"/>
  <c r="DF11" i="5"/>
  <c r="DE11" i="5"/>
  <c r="DD11" i="5"/>
  <c r="DC11" i="5"/>
  <c r="DF10" i="5"/>
  <c r="DE10" i="5"/>
  <c r="DD10" i="5"/>
  <c r="DC10" i="5"/>
  <c r="DF9" i="5"/>
  <c r="DE9" i="5"/>
  <c r="DD9" i="5"/>
  <c r="DC9" i="5"/>
  <c r="DF8" i="5"/>
  <c r="DE8" i="5"/>
  <c r="DD8" i="5"/>
  <c r="DC8" i="5"/>
  <c r="DF15" i="5"/>
  <c r="DE15" i="5"/>
  <c r="DD15" i="5"/>
  <c r="DC15" i="5"/>
  <c r="DF14" i="5"/>
  <c r="DE14" i="5"/>
  <c r="DD14" i="5"/>
  <c r="DC14" i="5"/>
  <c r="DF1" i="5"/>
  <c r="DE1" i="5"/>
  <c r="DD1" i="5"/>
  <c r="DC1" i="5"/>
  <c r="DF19" i="5"/>
  <c r="DE19" i="5"/>
  <c r="DD19" i="5"/>
  <c r="DC19" i="5"/>
  <c r="DF18" i="5"/>
  <c r="DE18" i="5"/>
  <c r="DD18" i="5"/>
  <c r="DC18" i="5"/>
  <c r="DF17" i="5"/>
  <c r="DE17" i="5"/>
  <c r="DD17" i="5"/>
  <c r="DC17" i="5"/>
  <c r="DF12" i="5"/>
  <c r="DE12" i="5"/>
  <c r="DD12" i="5"/>
  <c r="DC12" i="5"/>
  <c r="DF16" i="5"/>
  <c r="DE16" i="5"/>
  <c r="DD16" i="5"/>
  <c r="DC16" i="5"/>
  <c r="DF7" i="5"/>
  <c r="DE7" i="5"/>
  <c r="DD7" i="5"/>
  <c r="DC7" i="5"/>
  <c r="DF6" i="5"/>
  <c r="DE6" i="5"/>
  <c r="DD6" i="5"/>
  <c r="DC6" i="5"/>
  <c r="DF5" i="5"/>
  <c r="DE5" i="5"/>
  <c r="DD5" i="5"/>
  <c r="DC5" i="5"/>
  <c r="DF13" i="5"/>
  <c r="DE13" i="5"/>
  <c r="DD13" i="5"/>
  <c r="DC13" i="5"/>
  <c r="DF4" i="5"/>
  <c r="DE4" i="5"/>
  <c r="DD4" i="5"/>
  <c r="DC4" i="5"/>
  <c r="DF3" i="5"/>
  <c r="DE3" i="5"/>
  <c r="DD3" i="5"/>
  <c r="DC3" i="5"/>
  <c r="N23" i="2"/>
  <c r="P23" i="2"/>
  <c r="Q23" i="2"/>
  <c r="R23" i="2" s="1"/>
  <c r="L23" i="2"/>
  <c r="J23" i="2"/>
  <c r="P12" i="2"/>
  <c r="N12" i="2"/>
  <c r="Q12" i="2"/>
  <c r="R12" i="2" s="1"/>
  <c r="L12" i="2"/>
  <c r="J12" i="2"/>
  <c r="P7" i="2"/>
  <c r="N7" i="2"/>
  <c r="L7" i="2"/>
  <c r="Q7" i="2"/>
  <c r="R7" i="2" s="1"/>
  <c r="J7" i="2"/>
</calcChain>
</file>

<file path=xl/sharedStrings.xml><?xml version="1.0" encoding="utf-8"?>
<sst xmlns="http://schemas.openxmlformats.org/spreadsheetml/2006/main" count="5637" uniqueCount="1308">
  <si>
    <t>N°</t>
  </si>
  <si>
    <t>Apellidos</t>
  </si>
  <si>
    <t>Nombre</t>
  </si>
  <si>
    <t>DNI</t>
  </si>
  <si>
    <t>CARRERA</t>
  </si>
  <si>
    <t>SEDE DE ESTUDIO</t>
  </si>
  <si>
    <t>ASISTENCIA</t>
  </si>
  <si>
    <t>COMUNICACION</t>
  </si>
  <si>
    <t>%</t>
  </si>
  <si>
    <t>H. COMUNICATIVAS</t>
  </si>
  <si>
    <t>MATEMATICA</t>
  </si>
  <si>
    <t>CTA</t>
  </si>
  <si>
    <t>TOTAL</t>
  </si>
  <si>
    <t>(25 Pts)</t>
  </si>
  <si>
    <t>(10 Pts)</t>
  </si>
  <si>
    <t>(50 Pts)</t>
  </si>
  <si>
    <t>(15 Pts)</t>
  </si>
  <si>
    <t>(100 Pts)</t>
  </si>
  <si>
    <t>CONTRERAS AGUIRRE</t>
  </si>
  <si>
    <t>FABIAN EDUARDO</t>
  </si>
  <si>
    <t>INGENIERIA DE SISTEMAS</t>
  </si>
  <si>
    <t>Sede Chincha</t>
  </si>
  <si>
    <t>VASQUEZ PULIDO</t>
  </si>
  <si>
    <t>CRISTHIAN SMITT</t>
  </si>
  <si>
    <t>(35 Pts)</t>
  </si>
  <si>
    <t>(30 Pts)</t>
  </si>
  <si>
    <t>PANTOJA HUAYNATE</t>
  </si>
  <si>
    <t>PSICOLOGIA</t>
  </si>
  <si>
    <t>PALMA MOGOLLON</t>
  </si>
  <si>
    <t>MARIA ANGELICA</t>
  </si>
  <si>
    <t>ENFERMERIA</t>
  </si>
  <si>
    <t>TORRES LIZARVE</t>
  </si>
  <si>
    <t>TORRES MARTINEZ</t>
  </si>
  <si>
    <t>LUCIANA DANIELA</t>
  </si>
  <si>
    <t>OBSTETRICIA</t>
  </si>
  <si>
    <t>CELESTE DALIA NICOLE</t>
  </si>
  <si>
    <t>MAGALLANES LUYO</t>
  </si>
  <si>
    <t>Código</t>
  </si>
  <si>
    <t>A</t>
  </si>
  <si>
    <t>B</t>
  </si>
  <si>
    <t>CCSS</t>
  </si>
  <si>
    <t>C</t>
  </si>
  <si>
    <t>SEDE CHINCHA</t>
  </si>
  <si>
    <t>NAOMY SULEY</t>
  </si>
  <si>
    <t>DEIBI JHORCH</t>
  </si>
  <si>
    <t>FILIAL ICA</t>
  </si>
  <si>
    <t>VALERY MIDORY</t>
  </si>
  <si>
    <t>LOBO ESPINO</t>
  </si>
  <si>
    <t>MAYRA YAMILETH</t>
  </si>
  <si>
    <t>SANDOVAL ROJAS DE APARCANA</t>
  </si>
  <si>
    <t>DERECHO</t>
  </si>
  <si>
    <t>BELGICA ROXANA</t>
  </si>
  <si>
    <t>SARMIENTO FLORES</t>
  </si>
  <si>
    <t>NAYELY ROSALY</t>
  </si>
  <si>
    <t>HUAYTALLA MARTINEZ</t>
  </si>
  <si>
    <t>INGENIERIA CIVIL</t>
  </si>
  <si>
    <t>Filia Ica</t>
  </si>
  <si>
    <t>GUTIRREZ JURADO</t>
  </si>
  <si>
    <t>LUIS ISAI</t>
  </si>
  <si>
    <t>MARYURI ELISABETH</t>
  </si>
  <si>
    <t>GUTIERREZ JURADO</t>
  </si>
  <si>
    <t>JUAN CLIMACO</t>
  </si>
  <si>
    <t>VARGAS VALLE</t>
  </si>
  <si>
    <t>LUIS FERNANDO</t>
  </si>
  <si>
    <t>CASTAï¿½EDA FRANCO</t>
  </si>
  <si>
    <t>JARIL CAROLINA</t>
  </si>
  <si>
    <t>HUAMAN FLORES</t>
  </si>
  <si>
    <t>ALEXANDRA FLOR DE MARIA</t>
  </si>
  <si>
    <t>LOBOS ORMEï¿½O</t>
  </si>
  <si>
    <t>NAYELI ESTEFANI</t>
  </si>
  <si>
    <t>LUDEï¿½A ASTOCAZA</t>
  </si>
  <si>
    <t>FRIDA ELIZABETH</t>
  </si>
  <si>
    <t>CABRERA CRUZ</t>
  </si>
  <si>
    <t>CASTAÑEDA FRANCO</t>
  </si>
  <si>
    <t>LOBOS ORMEÑO</t>
  </si>
  <si>
    <t>LUDEÑA ASTOCAZA</t>
  </si>
  <si>
    <t>AREA</t>
  </si>
  <si>
    <t>ÁREA</t>
  </si>
  <si>
    <t>COMUNICACIÓN
(25 Ptos)</t>
  </si>
  <si>
    <t>H. COMUNICATIVAS 
(10 Pts)</t>
  </si>
  <si>
    <t>MATEMATICA
(50 Pts)</t>
  </si>
  <si>
    <t>CTA
(15 Pts)</t>
  </si>
  <si>
    <t>TOTAL
(100 Pts)</t>
  </si>
  <si>
    <t>CONDICIÓN</t>
  </si>
  <si>
    <t>MODALIDAD</t>
  </si>
  <si>
    <t>FECHA</t>
  </si>
  <si>
    <t>EXAMEN</t>
  </si>
  <si>
    <t>MODALIDAD DE INGRESO</t>
  </si>
  <si>
    <t>PRESENCIAL</t>
  </si>
  <si>
    <t>COMUNICACIÓN</t>
  </si>
  <si>
    <t>ASISTIÓ</t>
  </si>
  <si>
    <t>NOMBRES</t>
  </si>
  <si>
    <t>APELLIDOS</t>
  </si>
  <si>
    <t>TELEFONO</t>
  </si>
  <si>
    <t>CORREO</t>
  </si>
  <si>
    <t>CODIGO</t>
  </si>
  <si>
    <t>MARZO</t>
  </si>
  <si>
    <t>INGENIERIA INDUSTRIAL</t>
  </si>
  <si>
    <t>ARQUITECTURA</t>
  </si>
  <si>
    <t>TM OPTOMETRIA</t>
  </si>
  <si>
    <t>MEDICINA HUMANA</t>
  </si>
  <si>
    <t>TM LAB CLINICO Y ANATOMIA PATOLOGICA</t>
  </si>
  <si>
    <t>TM TERAPIA FISICA REHABILITACION</t>
  </si>
  <si>
    <t>ADMINISTRACION DE EMPRESAS</t>
  </si>
  <si>
    <t>PROM - GENERAL - ORDINARIO (100% DCTO)</t>
  </si>
  <si>
    <t>GENERAL - ORDINARIO (30% DCTO)</t>
  </si>
  <si>
    <t>PROM - ENF. Y ARQUIT. - ORDINARIO (100% DCTO)</t>
  </si>
  <si>
    <t>GENERAL - MODALIDAD ORDINARIA</t>
  </si>
  <si>
    <t>NO ASISTIÓ</t>
  </si>
  <si>
    <t>ENFERMERÍA</t>
  </si>
  <si>
    <t>PSICOLOGÍA</t>
  </si>
  <si>
    <t>INGRESÓ</t>
  </si>
  <si>
    <t>00320212</t>
  </si>
  <si>
    <t>JUNIO - ENFER. Y ARQUITC. - ORDINARIO</t>
  </si>
  <si>
    <t>A DISTANCIA - GENERAL - ORDINARIO - PROM</t>
  </si>
  <si>
    <t>A DISTANCIA - GENERAL - ORDINARIO</t>
  </si>
  <si>
    <t>GENERAL - DISCAPACIDAD ORDINARIO (A DISTANCIA)</t>
  </si>
  <si>
    <t xml:space="preserve">YAMILEHT SOFIA </t>
  </si>
  <si>
    <t xml:space="preserve">KEVIN LEONEL </t>
  </si>
  <si>
    <t>JOSE DARIO LALILIVIO</t>
  </si>
  <si>
    <t xml:space="preserve">JOEL ANGELLO </t>
  </si>
  <si>
    <t xml:space="preserve">ROGER GIANPIERE </t>
  </si>
  <si>
    <t xml:space="preserve">THALIA ESTHEFANY </t>
  </si>
  <si>
    <t xml:space="preserve">LIMSAY ANDREA </t>
  </si>
  <si>
    <t xml:space="preserve">THALIA LUCERO </t>
  </si>
  <si>
    <t xml:space="preserve">JAZMINE JENNIFFER </t>
  </si>
  <si>
    <t xml:space="preserve">VALERIA ALEJANDRA </t>
  </si>
  <si>
    <t xml:space="preserve">ALISON JOVANA </t>
  </si>
  <si>
    <t xml:space="preserve">JORGE LUIS </t>
  </si>
  <si>
    <t xml:space="preserve">ASTRID JULIETTE </t>
  </si>
  <si>
    <t xml:space="preserve">HEIDI DINA </t>
  </si>
  <si>
    <t>ROSA LINCOLN NADIM</t>
  </si>
  <si>
    <t xml:space="preserve">RUTH MARIBEL </t>
  </si>
  <si>
    <t xml:space="preserve">CRISTIAN MARCELO </t>
  </si>
  <si>
    <t xml:space="preserve">JANET GIANNINA </t>
  </si>
  <si>
    <t xml:space="preserve">JAZMIN  </t>
  </si>
  <si>
    <t xml:space="preserve">BRIYITH ARACELLIA </t>
  </si>
  <si>
    <t xml:space="preserve">EVERY ANDERSON </t>
  </si>
  <si>
    <t xml:space="preserve">SUSANA  </t>
  </si>
  <si>
    <t xml:space="preserve">SAYURI LISBETH </t>
  </si>
  <si>
    <t xml:space="preserve">WENDY MAYLI </t>
  </si>
  <si>
    <t xml:space="preserve">VALERIA RUBI </t>
  </si>
  <si>
    <t xml:space="preserve">LUIS FABRIZIO </t>
  </si>
  <si>
    <t xml:space="preserve">NATALIA EVA </t>
  </si>
  <si>
    <t xml:space="preserve">MARIA FERNANDA </t>
  </si>
  <si>
    <t xml:space="preserve">NATHALIE DESSIRE </t>
  </si>
  <si>
    <t xml:space="preserve">SUE ROXANA </t>
  </si>
  <si>
    <t>DE SUCLUPE LUDITH</t>
  </si>
  <si>
    <t xml:space="preserve">LUIS MIGUEL </t>
  </si>
  <si>
    <t xml:space="preserve">KEYLLI FABIANA </t>
  </si>
  <si>
    <t xml:space="preserve">JONATAN AARON </t>
  </si>
  <si>
    <t xml:space="preserve">PAOLA BRIGITTHE </t>
  </si>
  <si>
    <t xml:space="preserve">JHEREMY DANIEL </t>
  </si>
  <si>
    <t>JOSEPH STEVEN ORLANDO</t>
  </si>
  <si>
    <t xml:space="preserve">TREICI SIRENA </t>
  </si>
  <si>
    <t xml:space="preserve">ESTRELLA GUADALUPE </t>
  </si>
  <si>
    <t xml:space="preserve">MARIO AUGUSTO </t>
  </si>
  <si>
    <t xml:space="preserve">DANIELA CRISTINA </t>
  </si>
  <si>
    <t>JULIA GUADALUPE SAORI</t>
  </si>
  <si>
    <t xml:space="preserve">YORDY YAIR </t>
  </si>
  <si>
    <t xml:space="preserve">YASUMI SHERLI </t>
  </si>
  <si>
    <t xml:space="preserve">LHESLYE SABRINA </t>
  </si>
  <si>
    <t xml:space="preserve">JAHAIRO OMAR </t>
  </si>
  <si>
    <t xml:space="preserve">HARUMY LIZBET </t>
  </si>
  <si>
    <t xml:space="preserve">MONICA PAOLA </t>
  </si>
  <si>
    <t xml:space="preserve">PEDRO MANUEL </t>
  </si>
  <si>
    <t xml:space="preserve">MARJORY BETZABE </t>
  </si>
  <si>
    <t xml:space="preserve">YERLIT YUNISLEYDI </t>
  </si>
  <si>
    <t xml:space="preserve">YULISA NEFTALI </t>
  </si>
  <si>
    <t>MARLEN VANIA EMELY</t>
  </si>
  <si>
    <t xml:space="preserve">YOMAIRA CELINA </t>
  </si>
  <si>
    <t xml:space="preserve">MARYORI JAZMIN </t>
  </si>
  <si>
    <t xml:space="preserve">EVER ADRIAN </t>
  </si>
  <si>
    <t xml:space="preserve">ALEXANDRA BRIYIT </t>
  </si>
  <si>
    <t xml:space="preserve">LUCERO ANAYELI </t>
  </si>
  <si>
    <t xml:space="preserve">TERESA FIDELA </t>
  </si>
  <si>
    <t xml:space="preserve">KATHERIN BALERIA </t>
  </si>
  <si>
    <t xml:space="preserve">KEYKO YHADIRA </t>
  </si>
  <si>
    <t xml:space="preserve">ALONSO ESLEYTER </t>
  </si>
  <si>
    <t xml:space="preserve">EMILY MILAGROS </t>
  </si>
  <si>
    <t xml:space="preserve">CARLOS DANILO </t>
  </si>
  <si>
    <t xml:space="preserve">EMILY MARYORI </t>
  </si>
  <si>
    <t xml:space="preserve">BEATRIZ KARINA </t>
  </si>
  <si>
    <t xml:space="preserve">NEREIDA MAGDALENA </t>
  </si>
  <si>
    <t xml:space="preserve">BRENDA LLUVIA </t>
  </si>
  <si>
    <t xml:space="preserve">ANTONELLA FRENESI </t>
  </si>
  <si>
    <t xml:space="preserve">ORIANA NOIRA </t>
  </si>
  <si>
    <t>ROSA ANGELICA ZULEY</t>
  </si>
  <si>
    <t xml:space="preserve">KARLA IBETH </t>
  </si>
  <si>
    <t xml:space="preserve">KAREN CRISTINA </t>
  </si>
  <si>
    <t>JHOAN HASH SEBASTIAN</t>
  </si>
  <si>
    <t xml:space="preserve">CARMEN ROSA </t>
  </si>
  <si>
    <t xml:space="preserve">GABRIELA GALILEA </t>
  </si>
  <si>
    <t xml:space="preserve">ALLISON XIOMARA </t>
  </si>
  <si>
    <t>VALEZKA ALEJANDRA DEL</t>
  </si>
  <si>
    <t xml:space="preserve">XIOMARA SILVANA </t>
  </si>
  <si>
    <t xml:space="preserve">ALEJANDRA CAROLINA </t>
  </si>
  <si>
    <t xml:space="preserve">GINA GIANELLA </t>
  </si>
  <si>
    <t xml:space="preserve">ALEXANDER PAUL </t>
  </si>
  <si>
    <t xml:space="preserve">DEYSI SMITH </t>
  </si>
  <si>
    <t xml:space="preserve">FIORELLA YASHIRA </t>
  </si>
  <si>
    <t xml:space="preserve">JIANCARLOS GIOVANY </t>
  </si>
  <si>
    <t xml:space="preserve">HAYRTON MIJAIL </t>
  </si>
  <si>
    <t xml:space="preserve">GERMAN JAREN </t>
  </si>
  <si>
    <t>LUCERO DEL CRISTAL</t>
  </si>
  <si>
    <t xml:space="preserve">ANDY ALONSO </t>
  </si>
  <si>
    <t xml:space="preserve">MARTHA RAQUEL </t>
  </si>
  <si>
    <t xml:space="preserve">HENRRY SIGIFREDO </t>
  </si>
  <si>
    <t xml:space="preserve">HILDA ALICIA </t>
  </si>
  <si>
    <t>URTEAGA LIBBY ANTUANETTE</t>
  </si>
  <si>
    <t xml:space="preserve">BASILIO APOLINARIO </t>
  </si>
  <si>
    <t xml:space="preserve">NEIBY YHOJANA </t>
  </si>
  <si>
    <t xml:space="preserve">JOSE MANUEL </t>
  </si>
  <si>
    <t xml:space="preserve">PABLO CESAR </t>
  </si>
  <si>
    <t xml:space="preserve">RAUL MARTIN </t>
  </si>
  <si>
    <t xml:space="preserve">FLAVIO  </t>
  </si>
  <si>
    <t xml:space="preserve">LEONEL JEREMY </t>
  </si>
  <si>
    <t xml:space="preserve">RONALD ERICK </t>
  </si>
  <si>
    <t xml:space="preserve">HELBERT ROMER </t>
  </si>
  <si>
    <t xml:space="preserve">ORLANDO DAVID </t>
  </si>
  <si>
    <t xml:space="preserve">LUIS MARCOS </t>
  </si>
  <si>
    <t xml:space="preserve">HUGO FERNANDO </t>
  </si>
  <si>
    <t xml:space="preserve">DANILO  </t>
  </si>
  <si>
    <t xml:space="preserve">ALBERTO AQUILES </t>
  </si>
  <si>
    <t>JUAN DE DIOS</t>
  </si>
  <si>
    <t xml:space="preserve">YAJHAIRA NIKOLLE </t>
  </si>
  <si>
    <t xml:space="preserve">DANILO ANDRE </t>
  </si>
  <si>
    <t xml:space="preserve">ESTEBAN  </t>
  </si>
  <si>
    <t xml:space="preserve">RUBEN DARIO </t>
  </si>
  <si>
    <t xml:space="preserve">RENATO SAMUEL </t>
  </si>
  <si>
    <t xml:space="preserve">LUZ DELICITA </t>
  </si>
  <si>
    <t xml:space="preserve">IVAN GONZALO </t>
  </si>
  <si>
    <t xml:space="preserve">KEVIN ALEXANDER </t>
  </si>
  <si>
    <t xml:space="preserve">CESAR ALBERTO </t>
  </si>
  <si>
    <t xml:space="preserve">VANIA KHATERINE </t>
  </si>
  <si>
    <t xml:space="preserve">SHEYLA HARUMI </t>
  </si>
  <si>
    <t xml:space="preserve">LIZBETH MAYBELI </t>
  </si>
  <si>
    <t xml:space="preserve">YHOANN MANUEL </t>
  </si>
  <si>
    <t xml:space="preserve">ROBERTO EFRAIN </t>
  </si>
  <si>
    <t xml:space="preserve">VILICIANA ALINA </t>
  </si>
  <si>
    <t>PENA ZOLTANSKI PAULA</t>
  </si>
  <si>
    <t xml:space="preserve">FLAVIA VALERIA </t>
  </si>
  <si>
    <t xml:space="preserve">HENRY STUAR </t>
  </si>
  <si>
    <t xml:space="preserve">ALFONSO ALIPIO </t>
  </si>
  <si>
    <t xml:space="preserve">VICTOR RAUL </t>
  </si>
  <si>
    <t xml:space="preserve">ROSARIO YANET </t>
  </si>
  <si>
    <t xml:space="preserve">EDWAR EMILIO </t>
  </si>
  <si>
    <t xml:space="preserve">EVELYN YESENIA </t>
  </si>
  <si>
    <t xml:space="preserve">STEVE MARTIN </t>
  </si>
  <si>
    <t xml:space="preserve">ALEXANDRA IVETH </t>
  </si>
  <si>
    <t>ROCIO DEL PILAR</t>
  </si>
  <si>
    <t xml:space="preserve">ROGER  </t>
  </si>
  <si>
    <t xml:space="preserve">GABY NATALIA </t>
  </si>
  <si>
    <t xml:space="preserve">RUTH PATY </t>
  </si>
  <si>
    <t xml:space="preserve">TEOFANES  </t>
  </si>
  <si>
    <t xml:space="preserve">JARETH BENITO </t>
  </si>
  <si>
    <t xml:space="preserve">LEIDY SELENA </t>
  </si>
  <si>
    <t>GUILLEN ROSAS</t>
  </si>
  <si>
    <t>SOLORZANO HUAYTAN</t>
  </si>
  <si>
    <t>SANCHEZ BRAVO</t>
  </si>
  <si>
    <t>DOMINGUEZ MARQUEZ</t>
  </si>
  <si>
    <t>MAYO AYALA</t>
  </si>
  <si>
    <t>LOPEZ PASCUAL</t>
  </si>
  <si>
    <t>BERNAL QUINTEROS</t>
  </si>
  <si>
    <t>MOSQUERA SAMANAMUD</t>
  </si>
  <si>
    <t>MAZA GARCIA</t>
  </si>
  <si>
    <t>MAZA SOLORZANO</t>
  </si>
  <si>
    <t>ASCENCIO RAMIREZ</t>
  </si>
  <si>
    <t>SILVA QUISPE</t>
  </si>
  <si>
    <t>MURILLO MUNDO</t>
  </si>
  <si>
    <t>TALAVERANO JIMENEZ</t>
  </si>
  <si>
    <t>MEJIA LA</t>
  </si>
  <si>
    <t>VENANCIO SERNAQUE</t>
  </si>
  <si>
    <t>ALVARADO CASTRO</t>
  </si>
  <si>
    <t>REANO ANTUNEZ</t>
  </si>
  <si>
    <t>CUEVA ESPINOZA</t>
  </si>
  <si>
    <t>GUERRERO AGUAYO</t>
  </si>
  <si>
    <t>CARTOLIN VALENTIN</t>
  </si>
  <si>
    <t>MELGAREJO CALIXTO</t>
  </si>
  <si>
    <t>JUAREZ RODRIGUEZ</t>
  </si>
  <si>
    <t>GUZMAN PRINCIPE</t>
  </si>
  <si>
    <t>PICHILINGUE GALIANO</t>
  </si>
  <si>
    <t>BERNAL FRANCIA</t>
  </si>
  <si>
    <t>ANDRADE CARRERA</t>
  </si>
  <si>
    <t>BARRETO VALDIVIA</t>
  </si>
  <si>
    <t>OROYA MEDINA</t>
  </si>
  <si>
    <t>MATOS CHUMBES</t>
  </si>
  <si>
    <t>CORDOVA CORRALES</t>
  </si>
  <si>
    <t>MUNOZ AMADO</t>
  </si>
  <si>
    <t>TREJO MONTALVAN</t>
  </si>
  <si>
    <t>OLIVARES CAMPOS</t>
  </si>
  <si>
    <t>LEYVA GONZALES</t>
  </si>
  <si>
    <t>RETUERTO SARMIENTO</t>
  </si>
  <si>
    <t>VILLARREAL BERNAL</t>
  </si>
  <si>
    <t>SANCHEZ LOAYZA</t>
  </si>
  <si>
    <t>ARQUINIGO URBANO</t>
  </si>
  <si>
    <t>GIRON MEZA</t>
  </si>
  <si>
    <t>BENITES LAGUNA</t>
  </si>
  <si>
    <t>HUAMAN SUAREZ</t>
  </si>
  <si>
    <t>MALDONADO GARCIA</t>
  </si>
  <si>
    <t>AGUERO RAMOS</t>
  </si>
  <si>
    <t>REQUENA MONTALVO</t>
  </si>
  <si>
    <t>CHILET VELASQUEZ</t>
  </si>
  <si>
    <t>CHAVEZ ESPINOZA</t>
  </si>
  <si>
    <t>SUSANIBAR CAJALEON</t>
  </si>
  <si>
    <t>GORN GARCIA</t>
  </si>
  <si>
    <t>ZENOZAIN GARAY</t>
  </si>
  <si>
    <t>PALOMARES PALOMARES</t>
  </si>
  <si>
    <t>VELASQUEZ DOMINGUEZ</t>
  </si>
  <si>
    <t>VENTOCILLA ALEJO</t>
  </si>
  <si>
    <t>OCANA CALDERON</t>
  </si>
  <si>
    <t>VALDEZ SANTOYO</t>
  </si>
  <si>
    <t>FLORES CALDERON</t>
  </si>
  <si>
    <t>CASHPA HUAMAN</t>
  </si>
  <si>
    <t>COTRINA CARO</t>
  </si>
  <si>
    <t>MEZA VALVERDE</t>
  </si>
  <si>
    <t>CONTRERAS BENANCIO</t>
  </si>
  <si>
    <t>MELENDEZ REYES</t>
  </si>
  <si>
    <t>URBANO LOPEZ</t>
  </si>
  <si>
    <t>GIRON LOPEZ</t>
  </si>
  <si>
    <t>RETO LINO</t>
  </si>
  <si>
    <t>PAJUELO LINDO</t>
  </si>
  <si>
    <t>CACHA RIOS</t>
  </si>
  <si>
    <t>FLORES ROSALES</t>
  </si>
  <si>
    <t>PALOMINO VILCHEZ</t>
  </si>
  <si>
    <t>REYES GOMERO</t>
  </si>
  <si>
    <t>VALDIVIA CARRANZA</t>
  </si>
  <si>
    <t>ASHCALLA LOAYZA</t>
  </si>
  <si>
    <t>MINAYA VASQUEZ</t>
  </si>
  <si>
    <t>VILLAFUERTE DULANTO</t>
  </si>
  <si>
    <t>RAMIREZ JARAMILLO</t>
  </si>
  <si>
    <t>AYALA LEON</t>
  </si>
  <si>
    <t>VIDAL TAPIA</t>
  </si>
  <si>
    <t>MANDAMIENTO QUEDO</t>
  </si>
  <si>
    <t>CURAY LOPEZ</t>
  </si>
  <si>
    <t>LAZARO URBANO</t>
  </si>
  <si>
    <t>CHACON MESTANZA</t>
  </si>
  <si>
    <t>QUINONES LAVADO</t>
  </si>
  <si>
    <t>SOLIS PONCIANO</t>
  </si>
  <si>
    <t>VALLADARES MORALES</t>
  </si>
  <si>
    <t>HIDALGO SOSA</t>
  </si>
  <si>
    <t>RAMOS AREVALO</t>
  </si>
  <si>
    <t>CANO LIPE</t>
  </si>
  <si>
    <t>GONZALES RIOS</t>
  </si>
  <si>
    <t>VELAZCO MINAYA</t>
  </si>
  <si>
    <t>QUISPE HUAMAN</t>
  </si>
  <si>
    <t>GUILLEN PENA</t>
  </si>
  <si>
    <t>ERAS MONTOYA</t>
  </si>
  <si>
    <t>RIMAC MEDINA</t>
  </si>
  <si>
    <t>CACERES SAM</t>
  </si>
  <si>
    <t>OROCHE GUTIERREZ</t>
  </si>
  <si>
    <t>URTEAGA QUEZADA</t>
  </si>
  <si>
    <t>TASAYCO TORRES</t>
  </si>
  <si>
    <t>RUIZ CHERO</t>
  </si>
  <si>
    <t>CONDO ARENAS</t>
  </si>
  <si>
    <t>CHUQUISPUMA TAPIA</t>
  </si>
  <si>
    <t>ROSAS SALGUERON</t>
  </si>
  <si>
    <t>VILCA ESTEBAN</t>
  </si>
  <si>
    <t>FLORES AGUILAR</t>
  </si>
  <si>
    <t>VERASTEGUI LOPEZ</t>
  </si>
  <si>
    <t>PARIONA RUPAY</t>
  </si>
  <si>
    <t>ESTEBAN QUISPE</t>
  </si>
  <si>
    <t>BODERO CORNEJO</t>
  </si>
  <si>
    <t>PERALES RIVERA</t>
  </si>
  <si>
    <t>NUNEZ CARDENAS</t>
  </si>
  <si>
    <t>ORTIZ SAAVEDRA</t>
  </si>
  <si>
    <t>GALINDO CCALLOCUNTO</t>
  </si>
  <si>
    <t>BERROCAL PARIONA</t>
  </si>
  <si>
    <t>MORI ESPINOZA</t>
  </si>
  <si>
    <t>MEJIA MOZOMBITE</t>
  </si>
  <si>
    <t>CHAMORRO SOTO</t>
  </si>
  <si>
    <t>ROMERO COTRINA</t>
  </si>
  <si>
    <t>CULLA SALAZAR</t>
  </si>
  <si>
    <t>FUENTES ROCHA</t>
  </si>
  <si>
    <t>PADILLA ALVARADO</t>
  </si>
  <si>
    <t>HUMAREDA TORRES</t>
  </si>
  <si>
    <t>MEDINA GARCIA</t>
  </si>
  <si>
    <t>GARAYAR ARAUJO</t>
  </si>
  <si>
    <t>ARANIBAR MORI</t>
  </si>
  <si>
    <t>CHIPANA QUISPE</t>
  </si>
  <si>
    <t>AGUSTIN CESPEDES</t>
  </si>
  <si>
    <t>DE LA</t>
  </si>
  <si>
    <t>FIGUEROA SARAVIA</t>
  </si>
  <si>
    <t>ZUTTA CASTILLO</t>
  </si>
  <si>
    <t>ESPINOZA GUEVARA</t>
  </si>
  <si>
    <t>ANGULO LARA</t>
  </si>
  <si>
    <t>YEREN PENA</t>
  </si>
  <si>
    <t>BARCENA RAMIREZ</t>
  </si>
  <si>
    <t>FALCONI ARMACANQUI</t>
  </si>
  <si>
    <t>CABRERA ESPINAR</t>
  </si>
  <si>
    <t>LINDO BENITES</t>
  </si>
  <si>
    <t>PINEDO SALAS</t>
  </si>
  <si>
    <t>GALVAN LUJAN</t>
  </si>
  <si>
    <t>PEREZ POSTILLON</t>
  </si>
  <si>
    <t>HUALLPA HANCO</t>
  </si>
  <si>
    <t>CHAUPIN YANCE</t>
  </si>
  <si>
    <t>CRUZ MAMANI</t>
  </si>
  <si>
    <t>A252000007</t>
  </si>
  <si>
    <t>A252000078</t>
  </si>
  <si>
    <t>A252000079</t>
  </si>
  <si>
    <t>A252000108</t>
  </si>
  <si>
    <t>A252000113</t>
  </si>
  <si>
    <t>A252000177</t>
  </si>
  <si>
    <t>A252000207</t>
  </si>
  <si>
    <t>A252000209</t>
  </si>
  <si>
    <t>A252000212</t>
  </si>
  <si>
    <t>A252000284</t>
  </si>
  <si>
    <t>A252000326</t>
  </si>
  <si>
    <t>A252000384</t>
  </si>
  <si>
    <t>A252000460</t>
  </si>
  <si>
    <t>A252000519</t>
  </si>
  <si>
    <t>A252000625</t>
  </si>
  <si>
    <t>A252000674</t>
  </si>
  <si>
    <t>A252000689</t>
  </si>
  <si>
    <t>A252000695</t>
  </si>
  <si>
    <t>A252000696</t>
  </si>
  <si>
    <t>A252000704</t>
  </si>
  <si>
    <t>A252000709</t>
  </si>
  <si>
    <t>A252000719</t>
  </si>
  <si>
    <t>A252000720</t>
  </si>
  <si>
    <t>A252000734</t>
  </si>
  <si>
    <t>A252000741</t>
  </si>
  <si>
    <t>A252000744</t>
  </si>
  <si>
    <t>A252000748</t>
  </si>
  <si>
    <t>A252000769</t>
  </si>
  <si>
    <t>A252000770</t>
  </si>
  <si>
    <t>A252000771</t>
  </si>
  <si>
    <t>A252000774</t>
  </si>
  <si>
    <t>A252000775</t>
  </si>
  <si>
    <t>A252000778</t>
  </si>
  <si>
    <t>A252000785</t>
  </si>
  <si>
    <t>A252000787</t>
  </si>
  <si>
    <t>A252000795</t>
  </si>
  <si>
    <t>A252000808</t>
  </si>
  <si>
    <t>A252000818</t>
  </si>
  <si>
    <t>A252000820</t>
  </si>
  <si>
    <t>A252000835</t>
  </si>
  <si>
    <t>A252000839</t>
  </si>
  <si>
    <t>A252000840</t>
  </si>
  <si>
    <t>A252000846</t>
  </si>
  <si>
    <t>A252000851</t>
  </si>
  <si>
    <t>A252000852</t>
  </si>
  <si>
    <t>A252000853</t>
  </si>
  <si>
    <t>A252000854</t>
  </si>
  <si>
    <t>A252000859</t>
  </si>
  <si>
    <t>A252000860</t>
  </si>
  <si>
    <t>A252000863</t>
  </si>
  <si>
    <t>A252000910</t>
  </si>
  <si>
    <t>A252000911</t>
  </si>
  <si>
    <t>A252000913</t>
  </si>
  <si>
    <t>A252000915</t>
  </si>
  <si>
    <t>A252000924</t>
  </si>
  <si>
    <t>A252000929</t>
  </si>
  <si>
    <t>A252000933</t>
  </si>
  <si>
    <t>A252000935</t>
  </si>
  <si>
    <t>A252000948</t>
  </si>
  <si>
    <t>A252000949</t>
  </si>
  <si>
    <t>A252000952</t>
  </si>
  <si>
    <t>A252000956</t>
  </si>
  <si>
    <t>A252000957</t>
  </si>
  <si>
    <t>A252000972</t>
  </si>
  <si>
    <t>A252000976</t>
  </si>
  <si>
    <t>A252000977</t>
  </si>
  <si>
    <t>A252000980</t>
  </si>
  <si>
    <t>A252000987</t>
  </si>
  <si>
    <t>A252000994</t>
  </si>
  <si>
    <t>A252000995</t>
  </si>
  <si>
    <t>A252001011</t>
  </si>
  <si>
    <t>A252001016</t>
  </si>
  <si>
    <t>A252001029</t>
  </si>
  <si>
    <t>A252001030</t>
  </si>
  <si>
    <t>A252001040</t>
  </si>
  <si>
    <t>A252001046</t>
  </si>
  <si>
    <t>A252001048</t>
  </si>
  <si>
    <t>A252001053</t>
  </si>
  <si>
    <t>A252001054</t>
  </si>
  <si>
    <t>A252001064</t>
  </si>
  <si>
    <t>A252001074</t>
  </si>
  <si>
    <t>A252001075</t>
  </si>
  <si>
    <t>A252001080</t>
  </si>
  <si>
    <t>A252001087</t>
  </si>
  <si>
    <t>A252000084</t>
  </si>
  <si>
    <t>A252000184</t>
  </si>
  <si>
    <t>A252000257</t>
  </si>
  <si>
    <t>A252000261</t>
  </si>
  <si>
    <t>A252000317</t>
  </si>
  <si>
    <t>A252000328</t>
  </si>
  <si>
    <t>A252000421</t>
  </si>
  <si>
    <t>A252000510</t>
  </si>
  <si>
    <t>A252000627</t>
  </si>
  <si>
    <t>A252000629</t>
  </si>
  <si>
    <t>A252000631</t>
  </si>
  <si>
    <t>A252000649</t>
  </si>
  <si>
    <t>A252000668</t>
  </si>
  <si>
    <t>A252000682</t>
  </si>
  <si>
    <t>A252000701</t>
  </si>
  <si>
    <t>A252000702</t>
  </si>
  <si>
    <t>A252000710</t>
  </si>
  <si>
    <t>A252000717</t>
  </si>
  <si>
    <t>A252000718</t>
  </si>
  <si>
    <t>A252000724</t>
  </si>
  <si>
    <t>A252000725</t>
  </si>
  <si>
    <t>A252000740</t>
  </si>
  <si>
    <t>A252000757</t>
  </si>
  <si>
    <t>A252000764</t>
  </si>
  <si>
    <t>A252000773</t>
  </si>
  <si>
    <t>A252000786</t>
  </si>
  <si>
    <t>A252000791</t>
  </si>
  <si>
    <t>A252000800</t>
  </si>
  <si>
    <t>A252000803</t>
  </si>
  <si>
    <t>A252000817</t>
  </si>
  <si>
    <t>A252000832</t>
  </si>
  <si>
    <t>A252000847</t>
  </si>
  <si>
    <t>A252000861</t>
  </si>
  <si>
    <t>A252000864</t>
  </si>
  <si>
    <t>A252000904</t>
  </si>
  <si>
    <t>A252000907</t>
  </si>
  <si>
    <t>A252000917</t>
  </si>
  <si>
    <t>A252000926</t>
  </si>
  <si>
    <t>A252000934</t>
  </si>
  <si>
    <t>A252000961</t>
  </si>
  <si>
    <t>A252000965</t>
  </si>
  <si>
    <t>A252000984</t>
  </si>
  <si>
    <t>A252000986</t>
  </si>
  <si>
    <t>A252000992</t>
  </si>
  <si>
    <t>A252001021</t>
  </si>
  <si>
    <t>A252001025</t>
  </si>
  <si>
    <t>A252001027</t>
  </si>
  <si>
    <t>A252001033</t>
  </si>
  <si>
    <t>A252001038</t>
  </si>
  <si>
    <t>A252001044</t>
  </si>
  <si>
    <t>A252001058</t>
  </si>
  <si>
    <t>A252001061</t>
  </si>
  <si>
    <t>A252001066</t>
  </si>
  <si>
    <t>A252001068</t>
  </si>
  <si>
    <t>A252001077</t>
  </si>
  <si>
    <t>A252001081</t>
  </si>
  <si>
    <t>A252001082</t>
  </si>
  <si>
    <t>A252001083</t>
  </si>
  <si>
    <t>9129077007</t>
  </si>
  <si>
    <t>927435622</t>
  </si>
  <si>
    <t>907254866</t>
  </si>
  <si>
    <t>976279321</t>
  </si>
  <si>
    <t>964265848</t>
  </si>
  <si>
    <t>970201561</t>
  </si>
  <si>
    <t>946465108</t>
  </si>
  <si>
    <t>958469815</t>
  </si>
  <si>
    <t>967153853</t>
  </si>
  <si>
    <t>992778190</t>
  </si>
  <si>
    <t>904133460</t>
  </si>
  <si>
    <t>916039955</t>
  </si>
  <si>
    <t>958589134</t>
  </si>
  <si>
    <t>921010765</t>
  </si>
  <si>
    <t>956202403</t>
  </si>
  <si>
    <t>973292284</t>
  </si>
  <si>
    <t>900277129</t>
  </si>
  <si>
    <t>983366855</t>
  </si>
  <si>
    <t>963749615</t>
  </si>
  <si>
    <t>993519918</t>
  </si>
  <si>
    <t>923839140</t>
  </si>
  <si>
    <t>927903068</t>
  </si>
  <si>
    <t>986244386</t>
  </si>
  <si>
    <t>927158491</t>
  </si>
  <si>
    <t>958062478</t>
  </si>
  <si>
    <t>993414706</t>
  </si>
  <si>
    <t>980885663</t>
  </si>
  <si>
    <t>906787967</t>
  </si>
  <si>
    <t>917406050</t>
  </si>
  <si>
    <t>920891603, 962620527</t>
  </si>
  <si>
    <t>922576115</t>
  </si>
  <si>
    <t>980776772</t>
  </si>
  <si>
    <t>953797608</t>
  </si>
  <si>
    <t>950747644</t>
  </si>
  <si>
    <t>941806028</t>
  </si>
  <si>
    <t>994799117</t>
  </si>
  <si>
    <t>991529452</t>
  </si>
  <si>
    <t>940477582</t>
  </si>
  <si>
    <t>983888153</t>
  </si>
  <si>
    <t>960331541</t>
  </si>
  <si>
    <t>900201742</t>
  </si>
  <si>
    <t>900898535</t>
  </si>
  <si>
    <t>906700888</t>
  </si>
  <si>
    <t>936009238, 956481102, 956481102</t>
  </si>
  <si>
    <t>933852849</t>
  </si>
  <si>
    <t>980612074</t>
  </si>
  <si>
    <t>910222316</t>
  </si>
  <si>
    <t>953465963</t>
  </si>
  <si>
    <t>941703506</t>
  </si>
  <si>
    <t>955305515</t>
  </si>
  <si>
    <t>995110198</t>
  </si>
  <si>
    <t>903234431</t>
  </si>
  <si>
    <t>963982825</t>
  </si>
  <si>
    <t>943525509</t>
  </si>
  <si>
    <t>937223219, 932641378</t>
  </si>
  <si>
    <t>983203003</t>
  </si>
  <si>
    <t>935382722</t>
  </si>
  <si>
    <t>987312435</t>
  </si>
  <si>
    <t>952576705</t>
  </si>
  <si>
    <t>919704080</t>
  </si>
  <si>
    <t>947824671, 952608804</t>
  </si>
  <si>
    <t>924228765</t>
  </si>
  <si>
    <t>934428493</t>
  </si>
  <si>
    <t>920582765, 912918012</t>
  </si>
  <si>
    <t>952613063</t>
  </si>
  <si>
    <t>941442062</t>
  </si>
  <si>
    <t>982216759</t>
  </si>
  <si>
    <t>925950277</t>
  </si>
  <si>
    <t>915243811</t>
  </si>
  <si>
    <t>958992901</t>
  </si>
  <si>
    <t>987669757, 997910099</t>
  </si>
  <si>
    <t>906571028</t>
  </si>
  <si>
    <t>922277716</t>
  </si>
  <si>
    <t>967363308</t>
  </si>
  <si>
    <t>941270294, 992641514</t>
  </si>
  <si>
    <t>907221698</t>
  </si>
  <si>
    <t>903313699</t>
  </si>
  <si>
    <t>993370558</t>
  </si>
  <si>
    <t>923090912</t>
  </si>
  <si>
    <t>946612185</t>
  </si>
  <si>
    <t>923583045, 972217242</t>
  </si>
  <si>
    <t>983753214</t>
  </si>
  <si>
    <t>934994551</t>
  </si>
  <si>
    <t>992618047</t>
  </si>
  <si>
    <t>991853348</t>
  </si>
  <si>
    <t>981163981</t>
  </si>
  <si>
    <t>991778622</t>
  </si>
  <si>
    <t>963328652, 986187768</t>
  </si>
  <si>
    <t>997566381</t>
  </si>
  <si>
    <t>991044561</t>
  </si>
  <si>
    <t>935226787</t>
  </si>
  <si>
    <t>961430520</t>
  </si>
  <si>
    <t>970705831</t>
  </si>
  <si>
    <t>974404727</t>
  </si>
  <si>
    <t>931761676</t>
  </si>
  <si>
    <t>950779982</t>
  </si>
  <si>
    <t>968772565, 992622529</t>
  </si>
  <si>
    <t>963414134</t>
  </si>
  <si>
    <t>980657958</t>
  </si>
  <si>
    <t>920063869</t>
  </si>
  <si>
    <t>955571334, 937325164</t>
  </si>
  <si>
    <t>989649098</t>
  </si>
  <si>
    <t>931883724</t>
  </si>
  <si>
    <t>934146379</t>
  </si>
  <si>
    <t>926021386</t>
  </si>
  <si>
    <t>945366460, 930656120</t>
  </si>
  <si>
    <t>998901026</t>
  </si>
  <si>
    <t>976328327</t>
  </si>
  <si>
    <t>938442837, 995546530</t>
  </si>
  <si>
    <t>977346723</t>
  </si>
  <si>
    <t>982318203</t>
  </si>
  <si>
    <t>999906822</t>
  </si>
  <si>
    <t>912918311</t>
  </si>
  <si>
    <t>928091251</t>
  </si>
  <si>
    <t>989092734</t>
  </si>
  <si>
    <t>962649108</t>
  </si>
  <si>
    <t>992792981</t>
  </si>
  <si>
    <t>953709719</t>
  </si>
  <si>
    <t>933140958</t>
  </si>
  <si>
    <t>914861209</t>
  </si>
  <si>
    <t>986340598</t>
  </si>
  <si>
    <t>944467986</t>
  </si>
  <si>
    <t>915179923, 967290226</t>
  </si>
  <si>
    <t>993561309</t>
  </si>
  <si>
    <t>973044737</t>
  </si>
  <si>
    <t>990615675</t>
  </si>
  <si>
    <t>916196715</t>
  </si>
  <si>
    <t>972191127</t>
  </si>
  <si>
    <t>990339898</t>
  </si>
  <si>
    <t>926658203</t>
  </si>
  <si>
    <t>934473504</t>
  </si>
  <si>
    <t>956885804</t>
  </si>
  <si>
    <t>947621291</t>
  </si>
  <si>
    <t>912409943</t>
  </si>
  <si>
    <t>986123884, 995389106</t>
  </si>
  <si>
    <t>916194885</t>
  </si>
  <si>
    <t>956645289</t>
  </si>
  <si>
    <t>994922564</t>
  </si>
  <si>
    <t>989214848</t>
  </si>
  <si>
    <t>956188793</t>
  </si>
  <si>
    <t>994329632</t>
  </si>
  <si>
    <t>991481268</t>
  </si>
  <si>
    <t>sofia.acuarelita@gmail.com</t>
  </si>
  <si>
    <t>solorzano24kevin@gmail.com</t>
  </si>
  <si>
    <t>darsanchez134@gmail.com, rosmeribravo@hotmail.com</t>
  </si>
  <si>
    <t>angello_dominguez_@hotmail.com, angellodominguez15@gmail.com</t>
  </si>
  <si>
    <t>nicolasayala18pe@gmail.com</t>
  </si>
  <si>
    <t>thalialopez750@gmail.com</t>
  </si>
  <si>
    <t>limsay_27@hotmail.com</t>
  </si>
  <si>
    <t>tlmosquerasama@gmail.com</t>
  </si>
  <si>
    <t>garciastone@hotmail.com</t>
  </si>
  <si>
    <t>valeriaalejandramaza@gmail.com</t>
  </si>
  <si>
    <t>ascencioalison2@gmail.com</t>
  </si>
  <si>
    <t>j.luissilva427@gmail.com</t>
  </si>
  <si>
    <t>astridjuliette85@gmail.com</t>
  </si>
  <si>
    <t>heyditalaveranojimenez@gmail.com</t>
  </si>
  <si>
    <t>nadimmlr1909@gmail.com</t>
  </si>
  <si>
    <t>venancioruth6@gmail.com</t>
  </si>
  <si>
    <t>cm7masna@gmail.com</t>
  </si>
  <si>
    <t>janetgianninareanoantunez@gmail.com</t>
  </si>
  <si>
    <t>cuevaespinozajazmin@gmail.com</t>
  </si>
  <si>
    <t>briyithguerrero62@gmail.com</t>
  </si>
  <si>
    <t>everycartolin0@gmail.com</t>
  </si>
  <si>
    <t>susanamelgarejocalixto@gmail.com</t>
  </si>
  <si>
    <t>ssayurijuarez@gmail.com</t>
  </si>
  <si>
    <t>fiorelaguzmanprincipe@gmail.com</t>
  </si>
  <si>
    <t>valerigal037@gmail.com</t>
  </si>
  <si>
    <t>luisbernalfrancia06@gmail.com</t>
  </si>
  <si>
    <t>andradenatalia0567@gmail.com</t>
  </si>
  <si>
    <t>barretovaldiviafernanda@gmail.com</t>
  </si>
  <si>
    <t>oroyamedinanathalie@gmail.com</t>
  </si>
  <si>
    <t>suroxi@gmail.com</t>
  </si>
  <si>
    <t>ludith.corralesc@gmail.com</t>
  </si>
  <si>
    <t>munozamadomiguel36@gmail.com</t>
  </si>
  <si>
    <t>trejomontalvanfabiana@gmail.com</t>
  </si>
  <si>
    <t>asjkas.97@gmail.com</t>
  </si>
  <si>
    <t>paola.bri.03@gmail.com</t>
  </si>
  <si>
    <t>jheremydrs@gmail.com</t>
  </si>
  <si>
    <t>villarrealbernal2424@gmail.com</t>
  </si>
  <si>
    <t>treicissl2822@gmail.com</t>
  </si>
  <si>
    <t>arquinigourbanoestrella05@gmail.com</t>
  </si>
  <si>
    <t>gironmario602@gmail.com</t>
  </si>
  <si>
    <t>benitesdaniela37@gmail.com</t>
  </si>
  <si>
    <t>huamansuarezsaori@gmail.com</t>
  </si>
  <si>
    <t>yordimaldonado19@gmail.com</t>
  </si>
  <si>
    <t>agueroramosyasumi@gmail.com</t>
  </si>
  <si>
    <t>sabrinarequenamontalvo@gmail.com</t>
  </si>
  <si>
    <t>jchilet80@gmail.com</t>
  </si>
  <si>
    <t>harunylizbeth@gmail.com</t>
  </si>
  <si>
    <t>susanibar.unicornio@gmail.com</t>
  </si>
  <si>
    <t>pedromanuelgorn@gmail.com</t>
  </si>
  <si>
    <t>marjorygarayz3@gmail.com</t>
  </si>
  <si>
    <t>yerlitpalomares20@gmail.com</t>
  </si>
  <si>
    <t>velasqueztarazonaelmer@gmail.com</t>
  </si>
  <si>
    <t>vaniaventocilla9@gmail.com</t>
  </si>
  <si>
    <t>yomaira_celi22@hotmail.com</t>
  </si>
  <si>
    <t>santoyomaryori690@gmail.com</t>
  </si>
  <si>
    <t>everadrianfc@gmail.com</t>
  </si>
  <si>
    <t>alexandrabriyit25@gmail.com</t>
  </si>
  <si>
    <t>cotrinacarolucero@gmail.com</t>
  </si>
  <si>
    <t>mezateresa09@gmail.com</t>
  </si>
  <si>
    <t>katherincontreras340@gmail.com</t>
  </si>
  <si>
    <t>melendezreyesyhadira@gmail.com</t>
  </si>
  <si>
    <t>alonsourbano082008@gmail.com</t>
  </si>
  <si>
    <t>emilymili822761z@gmail.com</t>
  </si>
  <si>
    <t>chefretolino@gmail.com</t>
  </si>
  <si>
    <t>emipajuli@gmail.com</t>
  </si>
  <si>
    <t>beatrizkarinacacharios@gmail.com</t>
  </si>
  <si>
    <t>floresnereyda754@gmail.com</t>
  </si>
  <si>
    <t>brendapalomino741@gmail.com</t>
  </si>
  <si>
    <t>eshareyes8@gmail.com</t>
  </si>
  <si>
    <t>noiravaldivia28@gmail.com</t>
  </si>
  <si>
    <t>rosaashcalla53@gmail.com</t>
  </si>
  <si>
    <t>ibethh88@gmail.com</t>
  </si>
  <si>
    <t>cris_010505@hotmail.com</t>
  </si>
  <si>
    <t>jhoan.ramirezj@gmail.com</t>
  </si>
  <si>
    <t>carmenayalaleon25@gmail.com</t>
  </si>
  <si>
    <t>vgabrielagalilea@gmail.com</t>
  </si>
  <si>
    <t>alisonmq012@gmail.com</t>
  </si>
  <si>
    <t>curaylopezvalezka@gmail.com</t>
  </si>
  <si>
    <t>lazarourbanoxiomara@gmail.com</t>
  </si>
  <si>
    <t>alejandrachacon112233@gmail.com</t>
  </si>
  <si>
    <t>gianellaquinones2@gmail.com</t>
  </si>
  <si>
    <t>solisalex588@gmail.com</t>
  </si>
  <si>
    <t>valladaresmoralesdeysi84@gmail.com</t>
  </si>
  <si>
    <t>fiorellahidalgososa4@gmail.com</t>
  </si>
  <si>
    <t>jianramos20@gmail.com</t>
  </si>
  <si>
    <t>mijaelcano99@gmail.com</t>
  </si>
  <si>
    <t>germanjarengonzalesrios14@gmail.com</t>
  </si>
  <si>
    <t>lucerovelazco996@gmail.com</t>
  </si>
  <si>
    <t>quispelurita14@gmail.com</t>
  </si>
  <si>
    <t>guillenpear@yahoo.com</t>
  </si>
  <si>
    <t>polieras1164@gmail.com</t>
  </si>
  <si>
    <t>hildaaliciarimacmedina@gmail.com</t>
  </si>
  <si>
    <t>libbyurteaga@gmail.com</t>
  </si>
  <si>
    <t>gutierrezob@gmail.com</t>
  </si>
  <si>
    <t>neiby_04_04@hotmail.com</t>
  </si>
  <si>
    <t>moritasayco39041973@gmail.com</t>
  </si>
  <si>
    <t>cesar_ch3@hotmail.com</t>
  </si>
  <si>
    <t>gamersoteop7@hotmail.com</t>
  </si>
  <si>
    <t>flaviotapia2018@gmail.com</t>
  </si>
  <si>
    <t>jrosassalgueron@gmail.com</t>
  </si>
  <si>
    <t>pegasoesteban2@gmail.com</t>
  </si>
  <si>
    <t>helbert2711@gmail.com</t>
  </si>
  <si>
    <t>davidlopez13111@gmail.com</t>
  </si>
  <si>
    <t>luismarcos2009@gmail.com</t>
  </si>
  <si>
    <t>billcomhugo@gmail.com</t>
  </si>
  <si>
    <t>daniloesteban440@gmail.com</t>
  </si>
  <si>
    <t>albertobodero78@gmail.com</t>
  </si>
  <si>
    <t>jperales.125@gmail.com</t>
  </si>
  <si>
    <t>yajhairan943@gmail.com;                         yajhairanunez071@gmail.com</t>
  </si>
  <si>
    <t>daniel0x2015@gmail.com</t>
  </si>
  <si>
    <t>ccallocun@gmail.com</t>
  </si>
  <si>
    <t>rubenperuvian@gmail.com</t>
  </si>
  <si>
    <t>ryuzakislash@gmail.com</t>
  </si>
  <si>
    <t>lucecitamejiam@outlook.com</t>
  </si>
  <si>
    <t>vangohf3@gmail.com</t>
  </si>
  <si>
    <t>alexanderromerocotrina@gmail.com</t>
  </si>
  <si>
    <t>jorgeculla0519@gmail.com</t>
  </si>
  <si>
    <t>torrewebcesar@gmail.com</t>
  </si>
  <si>
    <t>deryanrojas015@gmail.com</t>
  </si>
  <si>
    <t>shl.harumi.torres@gmail.com</t>
  </si>
  <si>
    <t xml:space="preserve"> mariafernandamedinagracia@gmail.com</t>
  </si>
  <si>
    <t>lisbethgarayararaujo@gmail.com</t>
  </si>
  <si>
    <t>jh.dorian.123@hotmail.com</t>
  </si>
  <si>
    <t>3026efra@gmail.com</t>
  </si>
  <si>
    <t>alina.agustin.17@gmail.com</t>
  </si>
  <si>
    <t>paulasoledas0610@gmail.com</t>
  </si>
  <si>
    <t xml:space="preserve"> flaviafigueroa.07@gmail.com</t>
  </si>
  <si>
    <t>hennrycastillo315@gmail.com</t>
  </si>
  <si>
    <t>alfonsoespinoza7580@gmail.com</t>
  </si>
  <si>
    <t>victorior.angulo@gmail.com</t>
  </si>
  <si>
    <t>anyerlarrosario@gmail.com</t>
  </si>
  <si>
    <t>edwardbarcena4@gmail.com</t>
  </si>
  <si>
    <t>elvisnefi0903@gmail.com</t>
  </si>
  <si>
    <t>stevejosueespinar26@gmail.com</t>
  </si>
  <si>
    <t>lindobenitesalexandra3@gmail.com</t>
  </si>
  <si>
    <t>pinedosalasrocio@gmail.com</t>
  </si>
  <si>
    <t>rgalvan6707@gmail.com</t>
  </si>
  <si>
    <t>pgaby7551@gmail.com</t>
  </si>
  <si>
    <t>ruthpattyhh@gmail.com</t>
  </si>
  <si>
    <t>chaupin8812@gmail.com</t>
  </si>
  <si>
    <t>jarethmamani53@gmail.com</t>
  </si>
  <si>
    <t>agueroramosselena@gmail.com</t>
  </si>
  <si>
    <t>VIRTUAL</t>
  </si>
  <si>
    <t>SEDE CHINCHA ALTA</t>
  </si>
  <si>
    <t>ADMINISTRACIÓN DE EMPRESAS</t>
  </si>
  <si>
    <t>INGENIERÍA INDUSTRIAL</t>
  </si>
  <si>
    <t>FILIAL HUAURA</t>
  </si>
  <si>
    <t>Filial-Huacho</t>
  </si>
  <si>
    <t>A261000092</t>
  </si>
  <si>
    <t>A261000146</t>
  </si>
  <si>
    <t>A261000502</t>
  </si>
  <si>
    <t>72641597</t>
  </si>
  <si>
    <t>60803824</t>
  </si>
  <si>
    <t>70657326</t>
  </si>
  <si>
    <t>ATOCSA ROMERO</t>
  </si>
  <si>
    <t>RAMOS LLAGAS</t>
  </si>
  <si>
    <t>STEFANIE GERALDINE</t>
  </si>
  <si>
    <t>ROBLES CHUMBES</t>
  </si>
  <si>
    <t>MARY GRACE MILAGRITOS</t>
  </si>
  <si>
    <t>marioarmandosig@gmail.com</t>
  </si>
  <si>
    <t>geraldineyoriana@gmail.com</t>
  </si>
  <si>
    <t>pedromiguelcocabazalar@gmail.com</t>
  </si>
  <si>
    <t>CTA/CCSS</t>
  </si>
  <si>
    <t xml:space="preserve">EXAMEN ORDINARIO </t>
  </si>
  <si>
    <t>PRIMERA OPCIÓN</t>
  </si>
  <si>
    <t>HUAPAYA MORALES</t>
  </si>
  <si>
    <t>NAZARIO YAURI</t>
  </si>
  <si>
    <t>CCAULLA SULCA</t>
  </si>
  <si>
    <t>OYOLA RAMIREZ</t>
  </si>
  <si>
    <t>OSCATE SANCHEZ</t>
  </si>
  <si>
    <t>ROMAN JAIMES</t>
  </si>
  <si>
    <t>ROSADIO MEDINA</t>
  </si>
  <si>
    <t>SISTERNA RAMIREZ</t>
  </si>
  <si>
    <t>GUILLEN NONATO</t>
  </si>
  <si>
    <t>CANO MILLA</t>
  </si>
  <si>
    <t>RODRIGUEZ AGUILAR</t>
  </si>
  <si>
    <t>DAVILA NIETO</t>
  </si>
  <si>
    <t>CHANGANA GARCIA</t>
  </si>
  <si>
    <t>CARDENAS COLLANTES</t>
  </si>
  <si>
    <t>MAURICIO CARREÑO</t>
  </si>
  <si>
    <t>HERRERA CUCHO</t>
  </si>
  <si>
    <t>LEON PUESCAS</t>
  </si>
  <si>
    <t>HUACAYCHUCO RUIZ</t>
  </si>
  <si>
    <t>MOLINA GOMEZ</t>
  </si>
  <si>
    <t>ESPINOZA MONTES</t>
  </si>
  <si>
    <t>COCHON BALDARRAGO</t>
  </si>
  <si>
    <t>GONZALES PEREZ</t>
  </si>
  <si>
    <t>RONDON LOPEZ</t>
  </si>
  <si>
    <t>SALAZAR VENTURO</t>
  </si>
  <si>
    <t>FERNANDEZ BLANCO</t>
  </si>
  <si>
    <t>CHUMBES ZENOZAIN</t>
  </si>
  <si>
    <t>ORTIZ PASCUAL</t>
  </si>
  <si>
    <t>HURTADO CHANGANA</t>
  </si>
  <si>
    <t>LOPEZ BAZALAR</t>
  </si>
  <si>
    <t>TOLEDO MOSTACERO</t>
  </si>
  <si>
    <t>JAIME SOBERANIS</t>
  </si>
  <si>
    <t>ANDAVISA RIMAC</t>
  </si>
  <si>
    <t>VELASQUEZ PAICO</t>
  </si>
  <si>
    <t>ESPEJO REYES</t>
  </si>
  <si>
    <t>TORRES LEVANO</t>
  </si>
  <si>
    <t>GOMEZ CALDERON</t>
  </si>
  <si>
    <t>YARLEQUE CABELLO</t>
  </si>
  <si>
    <t>HUACHO QUITO</t>
  </si>
  <si>
    <t>GIRALDO JUSTINO</t>
  </si>
  <si>
    <t>ACEVEDO GUEVARA</t>
  </si>
  <si>
    <t>CHAVEZ SALVADOR</t>
  </si>
  <si>
    <t>FLORES MEZA</t>
  </si>
  <si>
    <t>ZAVALETA CASTILLO</t>
  </si>
  <si>
    <t>ROMERO AIRA</t>
  </si>
  <si>
    <t>SANDOVAL FLORES</t>
  </si>
  <si>
    <t>ROBLES CARQUIN</t>
  </si>
  <si>
    <t>TOLENTINO SERPA</t>
  </si>
  <si>
    <t>ORTIZ RAMOS</t>
  </si>
  <si>
    <t>BAEZ VELASQUEZ</t>
  </si>
  <si>
    <t>NAPUCHI MANIHUARI</t>
  </si>
  <si>
    <t>CRISOSTOMO CHUMBIAUCA</t>
  </si>
  <si>
    <t>PARIONA VILCA</t>
  </si>
  <si>
    <t>PALMA HUANCA</t>
  </si>
  <si>
    <t>FERRER QUISPE</t>
  </si>
  <si>
    <t>ANAYA ALEJO</t>
  </si>
  <si>
    <t>COLLAZOS TARAZONA</t>
  </si>
  <si>
    <t>CASTILLO PEREYRA</t>
  </si>
  <si>
    <t>ASTOCAZA CARMONA</t>
  </si>
  <si>
    <t>ROJAS ANSUALDO</t>
  </si>
  <si>
    <t>ROMAN UNZUETA</t>
  </si>
  <si>
    <t>LEON CHINCHAY</t>
  </si>
  <si>
    <t>ROMERO LLAGAS</t>
  </si>
  <si>
    <t>AURIS ANDRES</t>
  </si>
  <si>
    <t>RAMIREZ LLIQUE</t>
  </si>
  <si>
    <t>MELGAR MEDINA</t>
  </si>
  <si>
    <t>SIGUEÑAS BEDON</t>
  </si>
  <si>
    <t>FELIX MENDOZA</t>
  </si>
  <si>
    <t>BECERRA QUIÑONEZ</t>
  </si>
  <si>
    <t>TASAYCO ROJAS</t>
  </si>
  <si>
    <t>BISSO DE LOS SANTOS</t>
  </si>
  <si>
    <t>CUBAS AREVALO</t>
  </si>
  <si>
    <t>FLORES CASTILLO</t>
  </si>
  <si>
    <t>ALCANTARA HUERTA</t>
  </si>
  <si>
    <t>MANRIQUE ARANDA</t>
  </si>
  <si>
    <t>PALA VEGA</t>
  </si>
  <si>
    <t>TRUJILLO FELIX</t>
  </si>
  <si>
    <t>HERNANDEZ RODRIGUEZ</t>
  </si>
  <si>
    <t>ROJAS ASCENCIO</t>
  </si>
  <si>
    <t>JARA LUTGARDO</t>
  </si>
  <si>
    <t>SANDOVAL ACHIC</t>
  </si>
  <si>
    <t>ARELLANO NARBASTA</t>
  </si>
  <si>
    <t>LLEREN TORRES</t>
  </si>
  <si>
    <t>PITMAN HUAMAN</t>
  </si>
  <si>
    <t>VILLAFANE QUISPE</t>
  </si>
  <si>
    <t>BENITO JOSE</t>
  </si>
  <si>
    <t>REYNA KATHERIN</t>
  </si>
  <si>
    <t>WILMA</t>
  </si>
  <si>
    <t>DEREK FABRICIO</t>
  </si>
  <si>
    <t>BRENDALY GRACIELA</t>
  </si>
  <si>
    <t>JESUS SEBASTIAN</t>
  </si>
  <si>
    <t>JOHN ALDAIR</t>
  </si>
  <si>
    <t>JOSE ROLANDO RYU</t>
  </si>
  <si>
    <t>YASSADI PAOLA</t>
  </si>
  <si>
    <t>LILIANA CECILIA</t>
  </si>
  <si>
    <t>JULIA ISABELLA</t>
  </si>
  <si>
    <t>MIGUEL ANGEL</t>
  </si>
  <si>
    <t>MILAGROS DANIELA</t>
  </si>
  <si>
    <t>EDSON SANTIAGO</t>
  </si>
  <si>
    <t>ALVARO FERNANDO</t>
  </si>
  <si>
    <t>MARIA CLAUDIA</t>
  </si>
  <si>
    <t>ALDO OMAR</t>
  </si>
  <si>
    <t>JORGE ANTONIO</t>
  </si>
  <si>
    <t>GIDDEL ASMAVETH</t>
  </si>
  <si>
    <t>OMAR GENARO</t>
  </si>
  <si>
    <t>LUIS ENRIQUE</t>
  </si>
  <si>
    <t>ENRIQUE GERMAN</t>
  </si>
  <si>
    <t>BORIS SEBASTIAN</t>
  </si>
  <si>
    <t>ANGIE ISABEL</t>
  </si>
  <si>
    <t>RICARDO VICTOR</t>
  </si>
  <si>
    <t>SANTIAGO EDUARDO</t>
  </si>
  <si>
    <t>EDELINA ARIANA</t>
  </si>
  <si>
    <t>GABRIELA ALELY</t>
  </si>
  <si>
    <t>MIRELLA NAHOMI</t>
  </si>
  <si>
    <t>YELENA MILAGROS</t>
  </si>
  <si>
    <t>DIOGO LEONEL</t>
  </si>
  <si>
    <t>ANJHELI CORAL</t>
  </si>
  <si>
    <t>ALEXANDER DEL PIERO</t>
  </si>
  <si>
    <t>KINHVERLY ERIN</t>
  </si>
  <si>
    <t>GUADALUPE DEL ROSARIO</t>
  </si>
  <si>
    <t>CHRISTOPHER ROBINSON</t>
  </si>
  <si>
    <t>MARIBEL ROXANA</t>
  </si>
  <si>
    <t>LEISLE ZOFIA</t>
  </si>
  <si>
    <t>BRITHANNY HARLEY</t>
  </si>
  <si>
    <t>YHADIRA MICHELLE</t>
  </si>
  <si>
    <t>ROSALINDA NATALIA</t>
  </si>
  <si>
    <t>JACKELINE FIORELLA</t>
  </si>
  <si>
    <t>ARIANA EDELINA</t>
  </si>
  <si>
    <t>STHEFANI YASHURI</t>
  </si>
  <si>
    <t>JUAN DAVID</t>
  </si>
  <si>
    <t>JULIETA DEL CARMEN</t>
  </si>
  <si>
    <t>GRACE ABIGAIL BRESHITH</t>
  </si>
  <si>
    <t>CARLOS SEBASTIAN</t>
  </si>
  <si>
    <t>ANGIE NYCOLE</t>
  </si>
  <si>
    <t>SAMIRA VIVIANA</t>
  </si>
  <si>
    <t>NINOSSCKA YAMILETH PAOLA</t>
  </si>
  <si>
    <t>KATTYA</t>
  </si>
  <si>
    <t>LUISIANA NOEMI</t>
  </si>
  <si>
    <t>ALDAIR PABLO</t>
  </si>
  <si>
    <t>DIANA CAROLINA</t>
  </si>
  <si>
    <t>HALISON NICOLE</t>
  </si>
  <si>
    <t>KIARA ANDREA</t>
  </si>
  <si>
    <t>JADE JULISSA</t>
  </si>
  <si>
    <t>PAULA ROSALINDA ELBA</t>
  </si>
  <si>
    <t>NICOLE ALEXANDRA</t>
  </si>
  <si>
    <t>VALESKA ELENICE</t>
  </si>
  <si>
    <t>MASSIEL ANDREA</t>
  </si>
  <si>
    <t>GERAME DENNIS</t>
  </si>
  <si>
    <t>NICOLE NASAY</t>
  </si>
  <si>
    <t>NAYDU EVELYN</t>
  </si>
  <si>
    <t>SANDRA CORINA</t>
  </si>
  <si>
    <t>LUCIANA LISET</t>
  </si>
  <si>
    <t>HELEN YASHURIN</t>
  </si>
  <si>
    <t>DULCE INES</t>
  </si>
  <si>
    <t>EVER DAVID</t>
  </si>
  <si>
    <t>AIKO VICTORIA</t>
  </si>
  <si>
    <t>AIXA ESTEFANIA</t>
  </si>
  <si>
    <t>ERIKA ANGELIQUE</t>
  </si>
  <si>
    <t>NAYELEE YERAY</t>
  </si>
  <si>
    <t>CARLOS HAILTON</t>
  </si>
  <si>
    <t>JOSHUA GABRIEL ANTONIO</t>
  </si>
  <si>
    <t>ROSA ELENA</t>
  </si>
  <si>
    <t>ADELAIDA ANGELA</t>
  </si>
  <si>
    <t>FIORELLA VALENTINA</t>
  </si>
  <si>
    <t>NATALY NICOLL</t>
  </si>
  <si>
    <t>WILLIAM JAIR</t>
  </si>
  <si>
    <t>FRANK ALEXIS</t>
  </si>
  <si>
    <t>DEYBI ANDRES</t>
  </si>
  <si>
    <t>ARLETH CRISTINA</t>
  </si>
  <si>
    <t>XIOMARA JANET</t>
  </si>
  <si>
    <t>MARIELA SARAI</t>
  </si>
  <si>
    <t>RAUL ALBERT</t>
  </si>
  <si>
    <t>43278412</t>
  </si>
  <si>
    <t>48052368</t>
  </si>
  <si>
    <t>60324145</t>
  </si>
  <si>
    <t>60328822</t>
  </si>
  <si>
    <t>60558991</t>
  </si>
  <si>
    <t>60649663</t>
  </si>
  <si>
    <t>60686411</t>
  </si>
  <si>
    <t>60686417</t>
  </si>
  <si>
    <t>61113462</t>
  </si>
  <si>
    <t>61506024</t>
  </si>
  <si>
    <t>61506141</t>
  </si>
  <si>
    <t>61680824</t>
  </si>
  <si>
    <t>71710633</t>
  </si>
  <si>
    <t>72341186</t>
  </si>
  <si>
    <t>73031914</t>
  </si>
  <si>
    <t>60592791</t>
  </si>
  <si>
    <t>07489547</t>
  </si>
  <si>
    <t>20042227</t>
  </si>
  <si>
    <t>28243288</t>
  </si>
  <si>
    <t>43079742</t>
  </si>
  <si>
    <t>45694167</t>
  </si>
  <si>
    <t>48449875</t>
  </si>
  <si>
    <t>60220032</t>
  </si>
  <si>
    <t>60364675</t>
  </si>
  <si>
    <t>60540794</t>
  </si>
  <si>
    <t>60857749</t>
  </si>
  <si>
    <t>61062459</t>
  </si>
  <si>
    <t>61201149</t>
  </si>
  <si>
    <t>61368773</t>
  </si>
  <si>
    <t>61369347</t>
  </si>
  <si>
    <t>61489383</t>
  </si>
  <si>
    <t>61506210</t>
  </si>
  <si>
    <t>61552715</t>
  </si>
  <si>
    <t>73224126</t>
  </si>
  <si>
    <t>75612977</t>
  </si>
  <si>
    <t>79462377</t>
  </si>
  <si>
    <t>48037096</t>
  </si>
  <si>
    <t>60248123</t>
  </si>
  <si>
    <t>60459269</t>
  </si>
  <si>
    <t>60577442</t>
  </si>
  <si>
    <t>60650008</t>
  </si>
  <si>
    <t>61035075</t>
  </si>
  <si>
    <t>61062460</t>
  </si>
  <si>
    <t>61113531</t>
  </si>
  <si>
    <t>61369069</t>
  </si>
  <si>
    <t>61505762</t>
  </si>
  <si>
    <t>61506255</t>
  </si>
  <si>
    <t>71894777</t>
  </si>
  <si>
    <t>75978308</t>
  </si>
  <si>
    <t>76345536</t>
  </si>
  <si>
    <t>61171572</t>
  </si>
  <si>
    <t>63358468</t>
  </si>
  <si>
    <t>71806977</t>
  </si>
  <si>
    <t>75777123</t>
  </si>
  <si>
    <t>46430439</t>
  </si>
  <si>
    <t>60565694</t>
  </si>
  <si>
    <t>60620331</t>
  </si>
  <si>
    <t>61110977</t>
  </si>
  <si>
    <t>61272896</t>
  </si>
  <si>
    <t>61500225</t>
  </si>
  <si>
    <t>61506000</t>
  </si>
  <si>
    <t>61565276</t>
  </si>
  <si>
    <t>75108509</t>
  </si>
  <si>
    <t>75975765</t>
  </si>
  <si>
    <t>47351249</t>
  </si>
  <si>
    <t>48111510</t>
  </si>
  <si>
    <t>60195925</t>
  </si>
  <si>
    <t>60405475</t>
  </si>
  <si>
    <t>60584671</t>
  </si>
  <si>
    <t>60620325</t>
  </si>
  <si>
    <t>60620334</t>
  </si>
  <si>
    <t>60650142</t>
  </si>
  <si>
    <t>61062624</t>
  </si>
  <si>
    <t>61454735</t>
  </si>
  <si>
    <t>61760402</t>
  </si>
  <si>
    <t>61760417</t>
  </si>
  <si>
    <t>71396975</t>
  </si>
  <si>
    <t>71654895</t>
  </si>
  <si>
    <t>72068824</t>
  </si>
  <si>
    <t>72868105</t>
  </si>
  <si>
    <t>73934005</t>
  </si>
  <si>
    <t>75384137</t>
  </si>
  <si>
    <t>75467161</t>
  </si>
  <si>
    <t>75611270</t>
  </si>
  <si>
    <t>75675864</t>
  </si>
  <si>
    <t>77324050</t>
  </si>
  <si>
    <t>77708179</t>
  </si>
  <si>
    <t>A261000266</t>
  </si>
  <si>
    <t>A261001183</t>
  </si>
  <si>
    <t>A261001177</t>
  </si>
  <si>
    <t>A261001209</t>
  </si>
  <si>
    <t>A261001084</t>
  </si>
  <si>
    <t>A261001080</t>
  </si>
  <si>
    <t>A261001019</t>
  </si>
  <si>
    <t>A261001121</t>
  </si>
  <si>
    <t>A261001282</t>
  </si>
  <si>
    <t>A261000867</t>
  </si>
  <si>
    <t>A261001160</t>
  </si>
  <si>
    <t>A261001222</t>
  </si>
  <si>
    <t>A261000913</t>
  </si>
  <si>
    <t>A261001156</t>
  </si>
  <si>
    <t>A261001285</t>
  </si>
  <si>
    <t>A261001165</t>
  </si>
  <si>
    <t>A261000990</t>
  </si>
  <si>
    <t>A261001129</t>
  </si>
  <si>
    <t>A261001061</t>
  </si>
  <si>
    <t>A261001237</t>
  </si>
  <si>
    <t>A261001057</t>
  </si>
  <si>
    <t>A261001051</t>
  </si>
  <si>
    <t>A261001197</t>
  </si>
  <si>
    <t>A261001003</t>
  </si>
  <si>
    <t>A261000924</t>
  </si>
  <si>
    <t>A261001168</t>
  </si>
  <si>
    <t>A261001234</t>
  </si>
  <si>
    <t>A261001248</t>
  </si>
  <si>
    <t>A261001006</t>
  </si>
  <si>
    <t>A261001075</t>
  </si>
  <si>
    <t>A261001038</t>
  </si>
  <si>
    <t>A261001111</t>
  </si>
  <si>
    <t>A261001246</t>
  </si>
  <si>
    <t>A261000241</t>
  </si>
  <si>
    <t>A261001050</t>
  </si>
  <si>
    <t>A261001067</t>
  </si>
  <si>
    <t>A261001149</t>
  </si>
  <si>
    <t>A261001214</t>
  </si>
  <si>
    <t>A261001236</t>
  </si>
  <si>
    <t>A261000900</t>
  </si>
  <si>
    <t>A261001205</t>
  </si>
  <si>
    <t>A261001113</t>
  </si>
  <si>
    <t>A261001233</t>
  </si>
  <si>
    <t>A261000898</t>
  </si>
  <si>
    <t>A261001217</t>
  </si>
  <si>
    <t>A261001027</t>
  </si>
  <si>
    <t>A261001280</t>
  </si>
  <si>
    <t>A261000964</t>
  </si>
  <si>
    <t>A261000963</t>
  </si>
  <si>
    <t>A261000943</t>
  </si>
  <si>
    <t>A261001034</t>
  </si>
  <si>
    <t>A261000910</t>
  </si>
  <si>
    <t>A261001063</t>
  </si>
  <si>
    <t>A261000952</t>
  </si>
  <si>
    <t>A261000851</t>
  </si>
  <si>
    <t>A261001223</t>
  </si>
  <si>
    <t>A261001219</t>
  </si>
  <si>
    <t>A261001073</t>
  </si>
  <si>
    <t>A261001032</t>
  </si>
  <si>
    <t>A261001243</t>
  </si>
  <si>
    <t>A261001193</t>
  </si>
  <si>
    <t>A261000986</t>
  </si>
  <si>
    <t>A261000871</t>
  </si>
  <si>
    <t>A261000897</t>
  </si>
  <si>
    <t>A261000955</t>
  </si>
  <si>
    <t>A261001259</t>
  </si>
  <si>
    <t>A261001277</t>
  </si>
  <si>
    <t>A261001005</t>
  </si>
  <si>
    <t>A261001161</t>
  </si>
  <si>
    <t>A261000935</t>
  </si>
  <si>
    <t>A261001070</t>
  </si>
  <si>
    <t>A261001010</t>
  </si>
  <si>
    <t>A261000931</t>
  </si>
  <si>
    <t>A261000995</t>
  </si>
  <si>
    <t>A261001155</t>
  </si>
  <si>
    <t>A261000987</t>
  </si>
  <si>
    <t>A261001103</t>
  </si>
  <si>
    <t>A261000999</t>
  </si>
  <si>
    <t>A261001196</t>
  </si>
  <si>
    <t>A261000950</t>
  </si>
  <si>
    <t>A261000984</t>
  </si>
  <si>
    <t>A261001071</t>
  </si>
  <si>
    <t>A261001267</t>
  </si>
  <si>
    <t>A261001144</t>
  </si>
  <si>
    <t>A261001138</t>
  </si>
  <si>
    <t>A261001286</t>
  </si>
  <si>
    <t>A261000914</t>
  </si>
  <si>
    <t>benito.huapaya.morales@gmail.com</t>
  </si>
  <si>
    <t>katty.270613@gmail.com</t>
  </si>
  <si>
    <t>14vilmasulca@gmail.com</t>
  </si>
  <si>
    <t>derek.or.2023@gmail.com</t>
  </si>
  <si>
    <t>oscatebrenda@gmail.com</t>
  </si>
  <si>
    <t>jesusromanjaimes01@gmail.com</t>
  </si>
  <si>
    <t>johnrosadio27@gmail.com</t>
  </si>
  <si>
    <t>joserolandoryusisternaramirez@gmail.com</t>
  </si>
  <si>
    <t>yassadi286@gmail.com</t>
  </si>
  <si>
    <t>luli.lila.28cici@gmail.com</t>
  </si>
  <si>
    <t>juliaisabella09102008@gmail.com</t>
  </si>
  <si>
    <t>davilapaola073@gmail.com</t>
  </si>
  <si>
    <t>danielachanganag2002@gmail.com</t>
  </si>
  <si>
    <t>edsonsantiagoc.c@gmail.com</t>
  </si>
  <si>
    <t>alvaromauricio.26.18@gmail.com</t>
  </si>
  <si>
    <t>herreracuchomaria@gmail.com</t>
  </si>
  <si>
    <t>aldo92leon@gmail.com</t>
  </si>
  <si>
    <t>cipamateinf@gmail.com</t>
  </si>
  <si>
    <t>giddel.0109@gmail.com</t>
  </si>
  <si>
    <t>omar.genaro65@gmail.com</t>
  </si>
  <si>
    <t>luisenriquecochonbaldarrago@gmail.com</t>
  </si>
  <si>
    <t>enriqueg4688@gmail.com</t>
  </si>
  <si>
    <t>glanoloji@gmail.com</t>
  </si>
  <si>
    <t>isabelsalazarventuro@gmail.com</t>
  </si>
  <si>
    <t>ricardo12345fb@gmail.com</t>
  </si>
  <si>
    <t>santiagochumbes98@gmail.com</t>
  </si>
  <si>
    <t>edelinaortizpascual16@gmail.com</t>
  </si>
  <si>
    <t>ghurtadochangana@gmail.com</t>
  </si>
  <si>
    <t>rosamariabazalarguerrero@gmail.com</t>
  </si>
  <si>
    <t>yelenatoledo0911@gmail.com</t>
  </si>
  <si>
    <t>diogojaime11@gmail.com</t>
  </si>
  <si>
    <t>yikim131008@gmail.com</t>
  </si>
  <si>
    <t>aalexxpaico@gmail.com</t>
  </si>
  <si>
    <t>ekihnverlyerin@gmail.com</t>
  </si>
  <si>
    <t>torreslevanorosario@gmail.com</t>
  </si>
  <si>
    <t>trish.gumesh.tengohambre@gmail.com</t>
  </si>
  <si>
    <t>ladesiempre050@gmail.com</t>
  </si>
  <si>
    <t>leslyhuacho462@gmail.com</t>
  </si>
  <si>
    <t>harleyjustino2006@gmail.com</t>
  </si>
  <si>
    <t>isabelhuertas507@gmail.com</t>
  </si>
  <si>
    <t>rosalindachavezsalvador7@gmail.com</t>
  </si>
  <si>
    <t>fiorelaflores701@gmail.com</t>
  </si>
  <si>
    <t>arianaortizpascual@gmail.com</t>
  </si>
  <si>
    <t>sthefanyzavaleta74@gmail.com</t>
  </si>
  <si>
    <t>shetosbv16@gmail.com</t>
  </si>
  <si>
    <t>irmafloresbartolome@gmail.com</t>
  </si>
  <si>
    <t>graceroblescarquin0110@gmail.com</t>
  </si>
  <si>
    <t>sebastianzenozain038@gmail.com</t>
  </si>
  <si>
    <t>serpaangie@gmail.com</t>
  </si>
  <si>
    <t>samiraortizramos25@gmail.com</t>
  </si>
  <si>
    <t>yamiletbaez300@gmail.com</t>
  </si>
  <si>
    <t>kattyanapuchi@gmail.com</t>
  </si>
  <si>
    <t>emiliacrisostomo386@gmail.com</t>
  </si>
  <si>
    <t>jt737305@gmail.com</t>
  </si>
  <si>
    <t>dianaisis1990@gmail.com</t>
  </si>
  <si>
    <t>alissonferrerquispe@gmail.com</t>
  </si>
  <si>
    <t>kiaady6666@gmail.com</t>
  </si>
  <si>
    <t>jadecollazostarazona23@gmail.com</t>
  </si>
  <si>
    <t>castillopereyrapaula@gmail.com</t>
  </si>
  <si>
    <t>nastocaza@gmail.com</t>
  </si>
  <si>
    <t>rojasansualdovaleskaelenice@gmail.com</t>
  </si>
  <si>
    <t>andrearomanunzueta036@gmail.com</t>
  </si>
  <si>
    <t>leongerami10@gmail.com</t>
  </si>
  <si>
    <t>nasayromerollagas@gmail.com</t>
  </si>
  <si>
    <t>nayduaurisandres20@gmail.com</t>
  </si>
  <si>
    <t>sandracorina30@gmail.com</t>
  </si>
  <si>
    <t>lucymelgmed@gmail.com</t>
  </si>
  <si>
    <t>helenyashurinsiguenasbedon@gmail.com</t>
  </si>
  <si>
    <t>inesmid15@gmail.com</t>
  </si>
  <si>
    <t>everdavidbecerra@gmail.com</t>
  </si>
  <si>
    <t>victoriatasayco.14@gmail.com</t>
  </si>
  <si>
    <t>aixab036@gmail.com</t>
  </si>
  <si>
    <t>erika2018cubas@gmail.com</t>
  </si>
  <si>
    <t>nayeleefflores14@gmail.com</t>
  </si>
  <si>
    <t>carloshalcantara18@gmail.com</t>
  </si>
  <si>
    <t>joshua_211217@hotmail.com</t>
  </si>
  <si>
    <t>palavegarosa@gmail.com</t>
  </si>
  <si>
    <t>angelatrujillofelix881@gmail.com</t>
  </si>
  <si>
    <t>hernandezfiorellaelena83@gmail.com</t>
  </si>
  <si>
    <t>natanicolet@gmail.com</t>
  </si>
  <si>
    <t>jairjaralutgardo@gmail.com</t>
  </si>
  <si>
    <t>aleexsummer@gmail.com</t>
  </si>
  <si>
    <t>deybixoo084@gmail.com</t>
  </si>
  <si>
    <t>arlesitha2020@gmail.com</t>
  </si>
  <si>
    <t>xiomy201000@gmail.com</t>
  </si>
  <si>
    <t>marielapitman1@gmail.com</t>
  </si>
  <si>
    <t>ahioiyim@gmail.com</t>
  </si>
  <si>
    <t>CONTABILIDAD</t>
  </si>
  <si>
    <t>DICIEMBRE</t>
  </si>
  <si>
    <t>EXAMEN ORDINARIO</t>
  </si>
  <si>
    <t>DAVID PABLO</t>
  </si>
  <si>
    <t>ALVAREZ ARRIETA</t>
  </si>
  <si>
    <t>MARIO ARMANDO</t>
  </si>
  <si>
    <t>GEOFFREY SAMUEL</t>
  </si>
  <si>
    <t>ROMERO SHAPIAMA</t>
  </si>
  <si>
    <t>GERMANY ALVARADO</t>
  </si>
  <si>
    <t>OSIRIS MAGDIEL</t>
  </si>
  <si>
    <t>BENANCIO VELASQUEZ</t>
  </si>
  <si>
    <t>VICENTE EDIEL</t>
  </si>
  <si>
    <t>BELLO SAUCEDO</t>
  </si>
  <si>
    <t>SILVANA CONSUELO</t>
  </si>
  <si>
    <t>42452169</t>
  </si>
  <si>
    <t>A261000404</t>
  </si>
  <si>
    <t>david.alvarez.arrieta@gmail.com</t>
  </si>
  <si>
    <t>47160846</t>
  </si>
  <si>
    <t>74937071</t>
  </si>
  <si>
    <t>61113074</t>
  </si>
  <si>
    <t>60403176</t>
  </si>
  <si>
    <t>silvanaconsuelobellosaucedo@gmail.com</t>
  </si>
  <si>
    <t>vicenteeddy20@gmail.com</t>
  </si>
  <si>
    <t>germanyalvaradomagdiel@gmail.com</t>
  </si>
  <si>
    <t>shapiamamaritza36@gmail.com</t>
  </si>
  <si>
    <t>A261000573</t>
  </si>
  <si>
    <t>A261001116</t>
  </si>
  <si>
    <t>A261001098</t>
  </si>
  <si>
    <t>A261001200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</si>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</sst>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14" fontId="0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2" fillId="2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1" applyFont="1" applyBorder="1" applyAlignment="1">
      <alignment horizontal="center" vertical="center"/>
    </xf>
    <xf numFmtId="9" fontId="0" fillId="0" borderId="6" xfId="1" applyFon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8" xfId="1" applyFont="1" applyBorder="1" applyAlignment="1">
      <alignment vertical="center"/>
    </xf>
    <xf numFmtId="9" fontId="0" fillId="0" borderId="8" xfId="1" applyFont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/>
    <xf numFmtId="0" fontId="0" fillId="0" borderId="9" xfId="0" applyBorder="1" applyAlignment="1">
      <alignment horizontal="left"/>
    </xf>
    <xf numFmtId="9" fontId="0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6" fillId="3" borderId="0" xfId="0" applyFont="1" applyFill="1" applyAlignment="1">
      <alignment horizontal="center" vertical="center"/>
    </xf>
    <xf numFmtId="9" fontId="0" fillId="0" borderId="5" xfId="1" applyFont="1" applyBorder="1" applyAlignment="1">
      <alignment horizontal="center"/>
    </xf>
    <xf numFmtId="14" fontId="0" fillId="0" borderId="9" xfId="1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Border="1" applyAlignment="1">
      <alignment vertical="center"/>
    </xf>
    <xf numFmtId="9" fontId="0" fillId="0" borderId="0" xfId="1" applyFont="1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1" xfId="1" applyFont="1" applyBorder="1" applyAlignment="1">
      <alignment vertical="center"/>
    </xf>
    <xf numFmtId="9" fontId="0" fillId="0" borderId="0" xfId="1" applyFont="1" applyFill="1" applyBorder="1" applyAlignment="1">
      <alignment vertical="center"/>
    </xf>
    <xf numFmtId="9" fontId="0" fillId="0" borderId="0" xfId="1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0" xfId="0" applyBorder="1" applyAlignment="1">
      <alignment horizontal="center" vertical="center"/>
    </xf>
    <xf numFmtId="9" fontId="0" fillId="0" borderId="8" xfId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0" xfId="0" applyBorder="1"/>
    <xf numFmtId="9" fontId="0" fillId="0" borderId="7" xfId="1" applyFon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4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2BE7-4654-4496-805E-DA7EDD624E1F}">
  <dimension ref="A1:Z102"/>
  <sheetViews>
    <sheetView zoomScale="40" zoomScaleNormal="40" workbookViewId="0">
      <selection activeCell="E24" sqref="E24"/>
    </sheetView>
  </sheetViews>
  <sheetFormatPr baseColWidth="10" defaultRowHeight="15" x14ac:dyDescent="0.25"/>
  <cols>
    <col min="1" max="1" width="4.7109375" bestFit="1" customWidth="1"/>
    <col min="2" max="2" width="35" bestFit="1" customWidth="1"/>
    <col min="3" max="3" width="28.28515625" customWidth="1"/>
    <col min="4" max="4" width="17" bestFit="1" customWidth="1"/>
    <col min="5" max="5" width="17" customWidth="1"/>
    <col min="6" max="6" width="29" customWidth="1"/>
    <col min="7" max="7" width="39" bestFit="1" customWidth="1"/>
    <col min="8" max="8" width="19.85546875" bestFit="1" customWidth="1"/>
    <col min="9" max="9" width="39" customWidth="1"/>
    <col min="10" max="10" width="20.5703125" customWidth="1"/>
    <col min="11" max="11" width="15.85546875" customWidth="1"/>
    <col min="12" max="12" width="19.7109375" customWidth="1"/>
    <col min="13" max="13" width="9.5703125" customWidth="1"/>
    <col min="14" max="14" width="25" customWidth="1"/>
    <col min="15" max="15" width="11.140625" customWidth="1"/>
    <col min="16" max="16" width="16.140625" customWidth="1"/>
    <col min="17" max="17" width="8.42578125" customWidth="1"/>
    <col min="18" max="18" width="10.140625" customWidth="1"/>
    <col min="19" max="19" width="7.7109375" customWidth="1"/>
    <col min="20" max="20" width="11.140625" customWidth="1"/>
    <col min="21" max="21" width="8.85546875" customWidth="1"/>
    <col min="22" max="22" width="14.85546875" customWidth="1"/>
    <col min="23" max="23" width="21.42578125" customWidth="1"/>
    <col min="24" max="24" width="19.5703125" customWidth="1"/>
    <col min="25" max="25" width="19" customWidth="1"/>
    <col min="26" max="26" width="61.140625" bestFit="1" customWidth="1"/>
  </cols>
  <sheetData>
    <row r="1" spans="1:26" s="9" customFormat="1" ht="45.75" customHeight="1" x14ac:dyDescent="0.25">
      <c r="A1" s="2" t="s">
        <v>0</v>
      </c>
      <c r="B1" s="2" t="s">
        <v>92</v>
      </c>
      <c r="C1" s="2" t="s">
        <v>91</v>
      </c>
      <c r="D1" s="2" t="s">
        <v>3</v>
      </c>
      <c r="E1" s="2" t="s">
        <v>95</v>
      </c>
      <c r="F1" s="2" t="s">
        <v>93</v>
      </c>
      <c r="G1" s="2" t="s">
        <v>94</v>
      </c>
      <c r="H1" s="2" t="s">
        <v>76</v>
      </c>
      <c r="I1" s="2" t="s">
        <v>4</v>
      </c>
      <c r="J1" s="2" t="s">
        <v>5</v>
      </c>
      <c r="K1" s="8" t="s">
        <v>6</v>
      </c>
      <c r="L1" s="2" t="s">
        <v>78</v>
      </c>
      <c r="M1" s="2" t="s">
        <v>8</v>
      </c>
      <c r="N1" s="2" t="s">
        <v>79</v>
      </c>
      <c r="O1" s="2" t="s">
        <v>8</v>
      </c>
      <c r="P1" s="2" t="s">
        <v>80</v>
      </c>
      <c r="Q1" s="2" t="s">
        <v>8</v>
      </c>
      <c r="R1" s="2" t="s">
        <v>81</v>
      </c>
      <c r="S1" s="2" t="s">
        <v>8</v>
      </c>
      <c r="T1" s="2" t="s">
        <v>82</v>
      </c>
      <c r="U1" s="5" t="s">
        <v>8</v>
      </c>
      <c r="V1" s="6" t="s">
        <v>83</v>
      </c>
      <c r="W1" s="6" t="s">
        <v>84</v>
      </c>
      <c r="X1" s="6" t="s">
        <v>85</v>
      </c>
      <c r="Y1" s="6" t="s">
        <v>86</v>
      </c>
      <c r="Z1" s="6" t="s">
        <v>87</v>
      </c>
    </row>
    <row r="2" spans="1:26" s="9" customFormat="1" ht="15.75" x14ac:dyDescent="0.25">
      <c r="A2" s="12">
        <v>1</v>
      </c>
      <c r="B2" s="4" t="s">
        <v>882</v>
      </c>
      <c r="C2" s="12" t="s">
        <v>966</v>
      </c>
      <c r="D2" s="19" t="s">
        <v>1053</v>
      </c>
      <c r="E2" s="12" t="s">
        <v>1140</v>
      </c>
      <c r="F2" s="12"/>
      <c r="G2" s="12" t="s">
        <v>1227</v>
      </c>
      <c r="H2" s="12" t="s">
        <v>39</v>
      </c>
      <c r="I2" s="18" t="s">
        <v>109</v>
      </c>
      <c r="J2" s="12" t="s">
        <v>828</v>
      </c>
      <c r="K2" s="12" t="s">
        <v>90</v>
      </c>
      <c r="L2" s="12">
        <v>14</v>
      </c>
      <c r="M2" s="13">
        <v>0.56000000000000005</v>
      </c>
      <c r="N2" s="12">
        <v>4</v>
      </c>
      <c r="O2" s="13">
        <v>0.4</v>
      </c>
      <c r="P2" s="12">
        <v>10</v>
      </c>
      <c r="Q2" s="13">
        <v>0.33333333333333331</v>
      </c>
      <c r="R2" s="12">
        <v>14</v>
      </c>
      <c r="S2" s="13">
        <v>0.4</v>
      </c>
      <c r="T2" s="12">
        <v>42</v>
      </c>
      <c r="U2" s="13">
        <v>0.42</v>
      </c>
      <c r="V2" s="13" t="s">
        <v>111</v>
      </c>
      <c r="W2" s="55" t="s">
        <v>823</v>
      </c>
      <c r="X2" s="56">
        <v>46011</v>
      </c>
      <c r="Y2" s="51" t="s">
        <v>1279</v>
      </c>
      <c r="Z2" s="36" t="s">
        <v>1280</v>
      </c>
    </row>
    <row r="3" spans="1:26" s="9" customFormat="1" ht="15.75" x14ac:dyDescent="0.25">
      <c r="A3" s="12">
        <v>2</v>
      </c>
      <c r="B3" s="39" t="s">
        <v>883</v>
      </c>
      <c r="C3" s="42" t="s">
        <v>967</v>
      </c>
      <c r="D3" s="48" t="s">
        <v>1054</v>
      </c>
      <c r="E3" s="42" t="s">
        <v>1141</v>
      </c>
      <c r="F3" s="42"/>
      <c r="G3" s="42" t="s">
        <v>1228</v>
      </c>
      <c r="H3" s="12" t="s">
        <v>39</v>
      </c>
      <c r="I3" s="49" t="s">
        <v>109</v>
      </c>
      <c r="J3" s="42" t="s">
        <v>828</v>
      </c>
      <c r="K3" s="42" t="s">
        <v>90</v>
      </c>
      <c r="L3" s="42">
        <v>15</v>
      </c>
      <c r="M3" s="45">
        <v>0.6</v>
      </c>
      <c r="N3" s="42">
        <v>5</v>
      </c>
      <c r="O3" s="45">
        <v>0.5</v>
      </c>
      <c r="P3" s="42">
        <v>8</v>
      </c>
      <c r="Q3" s="13">
        <v>0.26666666666666672</v>
      </c>
      <c r="R3" s="42">
        <v>15</v>
      </c>
      <c r="S3" s="13">
        <v>0.42857142857142849</v>
      </c>
      <c r="T3" s="42">
        <v>43</v>
      </c>
      <c r="U3" s="13">
        <v>0.43</v>
      </c>
      <c r="V3" s="13" t="s">
        <v>111</v>
      </c>
      <c r="W3" s="55" t="s">
        <v>823</v>
      </c>
      <c r="X3" s="56">
        <v>46011</v>
      </c>
      <c r="Y3" s="51" t="s">
        <v>1279</v>
      </c>
      <c r="Z3" s="36" t="s">
        <v>1280</v>
      </c>
    </row>
    <row r="4" spans="1:26" x14ac:dyDescent="0.25">
      <c r="A4" s="12">
        <v>3</v>
      </c>
      <c r="B4" s="40" t="s">
        <v>884</v>
      </c>
      <c r="C4" s="38" t="s">
        <v>968</v>
      </c>
      <c r="D4" s="38" t="s">
        <v>1055</v>
      </c>
      <c r="E4" s="38" t="s">
        <v>1142</v>
      </c>
      <c r="F4" s="38"/>
      <c r="G4" s="38" t="s">
        <v>1229</v>
      </c>
      <c r="H4" s="12" t="s">
        <v>39</v>
      </c>
      <c r="I4" s="50" t="s">
        <v>109</v>
      </c>
      <c r="J4" s="38" t="s">
        <v>828</v>
      </c>
      <c r="K4" s="38" t="s">
        <v>90</v>
      </c>
      <c r="L4" s="38">
        <v>20</v>
      </c>
      <c r="M4" s="45">
        <v>0.8</v>
      </c>
      <c r="N4" s="38">
        <v>7</v>
      </c>
      <c r="O4" s="45">
        <v>0.7</v>
      </c>
      <c r="P4" s="38">
        <v>23</v>
      </c>
      <c r="Q4" s="13">
        <v>0.76666666666666672</v>
      </c>
      <c r="R4" s="38">
        <v>33</v>
      </c>
      <c r="S4" s="13">
        <v>0.94285714285714284</v>
      </c>
      <c r="T4" s="38">
        <v>83</v>
      </c>
      <c r="U4" s="13">
        <v>0.83</v>
      </c>
      <c r="V4" s="13" t="s">
        <v>111</v>
      </c>
      <c r="W4" s="55" t="s">
        <v>823</v>
      </c>
      <c r="X4" s="57">
        <v>46011</v>
      </c>
      <c r="Y4" s="38" t="s">
        <v>1279</v>
      </c>
      <c r="Z4" s="36" t="s">
        <v>1280</v>
      </c>
    </row>
    <row r="5" spans="1:26" x14ac:dyDescent="0.25">
      <c r="A5" s="12">
        <v>4</v>
      </c>
      <c r="B5" s="40" t="s">
        <v>885</v>
      </c>
      <c r="C5" s="38" t="s">
        <v>969</v>
      </c>
      <c r="D5" s="38" t="s">
        <v>1056</v>
      </c>
      <c r="E5" s="38" t="s">
        <v>1143</v>
      </c>
      <c r="F5" s="38">
        <v>996186698</v>
      </c>
      <c r="G5" s="38" t="s">
        <v>1230</v>
      </c>
      <c r="H5" s="12" t="s">
        <v>39</v>
      </c>
      <c r="I5" s="50" t="s">
        <v>109</v>
      </c>
      <c r="J5" s="38" t="s">
        <v>828</v>
      </c>
      <c r="K5" s="38" t="s">
        <v>90</v>
      </c>
      <c r="L5" s="38">
        <v>10</v>
      </c>
      <c r="M5" s="45">
        <v>0.4</v>
      </c>
      <c r="N5" s="38">
        <v>6</v>
      </c>
      <c r="O5" s="45">
        <v>0.6</v>
      </c>
      <c r="P5" s="38">
        <v>17</v>
      </c>
      <c r="Q5" s="13">
        <v>0.56666666666666665</v>
      </c>
      <c r="R5" s="38">
        <v>27</v>
      </c>
      <c r="S5" s="13">
        <v>0.77142857142857146</v>
      </c>
      <c r="T5" s="38">
        <v>60</v>
      </c>
      <c r="U5" s="13">
        <v>0.6</v>
      </c>
      <c r="V5" s="13" t="s">
        <v>111</v>
      </c>
      <c r="W5" s="55" t="s">
        <v>823</v>
      </c>
      <c r="X5" s="57">
        <v>46011</v>
      </c>
      <c r="Y5" s="38" t="s">
        <v>1279</v>
      </c>
      <c r="Z5" s="36" t="s">
        <v>1280</v>
      </c>
    </row>
    <row r="6" spans="1:26" x14ac:dyDescent="0.25">
      <c r="A6" s="12">
        <v>5</v>
      </c>
      <c r="B6" s="40" t="s">
        <v>886</v>
      </c>
      <c r="C6" s="38" t="s">
        <v>970</v>
      </c>
      <c r="D6" s="38" t="s">
        <v>1057</v>
      </c>
      <c r="E6" s="38" t="s">
        <v>1144</v>
      </c>
      <c r="F6" s="38"/>
      <c r="G6" s="38" t="s">
        <v>1231</v>
      </c>
      <c r="H6" s="12" t="s">
        <v>39</v>
      </c>
      <c r="I6" s="50" t="s">
        <v>109</v>
      </c>
      <c r="J6" s="38" t="s">
        <v>828</v>
      </c>
      <c r="K6" s="38" t="s">
        <v>90</v>
      </c>
      <c r="L6" s="38">
        <v>17</v>
      </c>
      <c r="M6" s="45">
        <v>0.68</v>
      </c>
      <c r="N6" s="38">
        <v>8</v>
      </c>
      <c r="O6" s="45">
        <v>0.8</v>
      </c>
      <c r="P6" s="38">
        <v>27</v>
      </c>
      <c r="Q6" s="13">
        <v>0.9</v>
      </c>
      <c r="R6" s="38">
        <v>32</v>
      </c>
      <c r="S6" s="13">
        <v>0.91428571428571426</v>
      </c>
      <c r="T6" s="38">
        <v>84</v>
      </c>
      <c r="U6" s="13">
        <v>0.84</v>
      </c>
      <c r="V6" s="13" t="s">
        <v>111</v>
      </c>
      <c r="W6" s="55" t="s">
        <v>823</v>
      </c>
      <c r="X6" s="57">
        <v>46011</v>
      </c>
      <c r="Y6" s="38" t="s">
        <v>1279</v>
      </c>
      <c r="Z6" s="36" t="s">
        <v>845</v>
      </c>
    </row>
    <row r="7" spans="1:26" x14ac:dyDescent="0.25">
      <c r="A7" s="12">
        <v>6</v>
      </c>
      <c r="B7" s="40" t="s">
        <v>887</v>
      </c>
      <c r="C7" s="38" t="s">
        <v>971</v>
      </c>
      <c r="D7" s="38" t="s">
        <v>1058</v>
      </c>
      <c r="E7" s="38" t="s">
        <v>1145</v>
      </c>
      <c r="F7" s="38"/>
      <c r="G7" s="38" t="s">
        <v>1232</v>
      </c>
      <c r="H7" s="12" t="s">
        <v>39</v>
      </c>
      <c r="I7" s="50" t="s">
        <v>109</v>
      </c>
      <c r="J7" s="38" t="s">
        <v>828</v>
      </c>
      <c r="K7" s="38" t="s">
        <v>90</v>
      </c>
      <c r="L7" s="38">
        <v>11</v>
      </c>
      <c r="M7" s="45">
        <v>0.44</v>
      </c>
      <c r="N7" s="38">
        <v>5</v>
      </c>
      <c r="O7" s="45">
        <v>0.5</v>
      </c>
      <c r="P7" s="38">
        <v>20</v>
      </c>
      <c r="Q7" s="13">
        <v>0.66666666666666663</v>
      </c>
      <c r="R7" s="38">
        <v>25</v>
      </c>
      <c r="S7" s="13">
        <v>0.7142857142857143</v>
      </c>
      <c r="T7" s="38">
        <v>61</v>
      </c>
      <c r="U7" s="13">
        <v>0.61</v>
      </c>
      <c r="V7" s="13" t="s">
        <v>111</v>
      </c>
      <c r="W7" s="55" t="s">
        <v>823</v>
      </c>
      <c r="X7" s="57">
        <v>46011</v>
      </c>
      <c r="Y7" s="38" t="s">
        <v>1279</v>
      </c>
      <c r="Z7" s="36" t="s">
        <v>1280</v>
      </c>
    </row>
    <row r="8" spans="1:26" x14ac:dyDescent="0.25">
      <c r="A8" s="12">
        <v>7</v>
      </c>
      <c r="B8" s="40" t="s">
        <v>872</v>
      </c>
      <c r="C8" s="38" t="s">
        <v>972</v>
      </c>
      <c r="D8" s="38" t="s">
        <v>1059</v>
      </c>
      <c r="E8" s="38" t="s">
        <v>1146</v>
      </c>
      <c r="F8" s="38"/>
      <c r="G8" s="38" t="s">
        <v>1233</v>
      </c>
      <c r="H8" s="12" t="s">
        <v>39</v>
      </c>
      <c r="I8" s="50" t="s">
        <v>109</v>
      </c>
      <c r="J8" s="38" t="s">
        <v>828</v>
      </c>
      <c r="K8" s="38" t="s">
        <v>90</v>
      </c>
      <c r="L8" s="38">
        <v>17</v>
      </c>
      <c r="M8" s="45">
        <v>0.68</v>
      </c>
      <c r="N8" s="38">
        <v>7</v>
      </c>
      <c r="O8" s="45">
        <v>0.7</v>
      </c>
      <c r="P8" s="38">
        <v>15</v>
      </c>
      <c r="Q8" s="13">
        <v>0.5</v>
      </c>
      <c r="R8" s="38">
        <v>23</v>
      </c>
      <c r="S8" s="13">
        <v>0.65714285714285714</v>
      </c>
      <c r="T8" s="38">
        <v>62</v>
      </c>
      <c r="U8" s="13">
        <v>0.62</v>
      </c>
      <c r="V8" s="13" t="s">
        <v>111</v>
      </c>
      <c r="W8" s="55" t="s">
        <v>823</v>
      </c>
      <c r="X8" s="57">
        <v>46011</v>
      </c>
      <c r="Y8" s="38" t="s">
        <v>1279</v>
      </c>
      <c r="Z8" s="36" t="s">
        <v>1280</v>
      </c>
    </row>
    <row r="9" spans="1:26" x14ac:dyDescent="0.25">
      <c r="A9" s="12">
        <v>8</v>
      </c>
      <c r="B9" s="40" t="s">
        <v>888</v>
      </c>
      <c r="C9" s="38" t="s">
        <v>973</v>
      </c>
      <c r="D9" s="38" t="s">
        <v>1060</v>
      </c>
      <c r="E9" s="38" t="s">
        <v>1147</v>
      </c>
      <c r="F9" s="38"/>
      <c r="G9" s="38" t="s">
        <v>1234</v>
      </c>
      <c r="H9" s="12" t="s">
        <v>39</v>
      </c>
      <c r="I9" s="50" t="s">
        <v>109</v>
      </c>
      <c r="J9" s="38" t="s">
        <v>828</v>
      </c>
      <c r="K9" s="38" t="s">
        <v>90</v>
      </c>
      <c r="L9" s="38">
        <v>13</v>
      </c>
      <c r="M9" s="45">
        <v>0.52</v>
      </c>
      <c r="N9" s="38">
        <v>5</v>
      </c>
      <c r="O9" s="45">
        <v>0.5</v>
      </c>
      <c r="P9" s="38">
        <v>11</v>
      </c>
      <c r="Q9" s="13">
        <v>0.36666666666666659</v>
      </c>
      <c r="R9" s="38">
        <v>24</v>
      </c>
      <c r="S9" s="13">
        <v>0.68571428571428572</v>
      </c>
      <c r="T9" s="38">
        <v>53</v>
      </c>
      <c r="U9" s="13">
        <v>0.53</v>
      </c>
      <c r="V9" s="13" t="s">
        <v>111</v>
      </c>
      <c r="W9" s="55" t="s">
        <v>823</v>
      </c>
      <c r="X9" s="57">
        <v>46011</v>
      </c>
      <c r="Y9" s="38" t="s">
        <v>1279</v>
      </c>
      <c r="Z9" s="36" t="s">
        <v>1280</v>
      </c>
    </row>
    <row r="10" spans="1:26" x14ac:dyDescent="0.25">
      <c r="A10" s="12">
        <v>9</v>
      </c>
      <c r="B10" s="40" t="s">
        <v>889</v>
      </c>
      <c r="C10" s="38" t="s">
        <v>974</v>
      </c>
      <c r="D10" s="38" t="s">
        <v>1061</v>
      </c>
      <c r="E10" s="38" t="s">
        <v>1148</v>
      </c>
      <c r="F10" s="38"/>
      <c r="G10" s="38" t="s">
        <v>1235</v>
      </c>
      <c r="H10" s="12" t="s">
        <v>39</v>
      </c>
      <c r="I10" s="50" t="s">
        <v>109</v>
      </c>
      <c r="J10" s="38" t="s">
        <v>828</v>
      </c>
      <c r="K10" s="38" t="s">
        <v>90</v>
      </c>
      <c r="L10" s="38">
        <v>17</v>
      </c>
      <c r="M10" s="45">
        <v>0.68</v>
      </c>
      <c r="N10" s="38">
        <v>8</v>
      </c>
      <c r="O10" s="45">
        <v>0.8</v>
      </c>
      <c r="P10" s="38">
        <v>25</v>
      </c>
      <c r="Q10" s="13">
        <v>0.83333333333333337</v>
      </c>
      <c r="R10" s="38">
        <v>30</v>
      </c>
      <c r="S10" s="13">
        <v>0.8571428571428571</v>
      </c>
      <c r="T10" s="38">
        <v>80</v>
      </c>
      <c r="U10" s="13">
        <v>0.8</v>
      </c>
      <c r="V10" s="13" t="s">
        <v>111</v>
      </c>
      <c r="W10" s="55" t="s">
        <v>823</v>
      </c>
      <c r="X10" s="57">
        <v>46011</v>
      </c>
      <c r="Y10" s="38" t="s">
        <v>1279</v>
      </c>
      <c r="Z10" s="36" t="s">
        <v>845</v>
      </c>
    </row>
    <row r="11" spans="1:26" x14ac:dyDescent="0.25">
      <c r="A11" s="12">
        <v>10</v>
      </c>
      <c r="B11" s="40" t="s">
        <v>890</v>
      </c>
      <c r="C11" s="38" t="s">
        <v>975</v>
      </c>
      <c r="D11" s="38" t="s">
        <v>1062</v>
      </c>
      <c r="E11" s="38" t="s">
        <v>1149</v>
      </c>
      <c r="F11" s="38"/>
      <c r="G11" s="38" t="s">
        <v>1236</v>
      </c>
      <c r="H11" s="12" t="s">
        <v>39</v>
      </c>
      <c r="I11" s="50" t="s">
        <v>109</v>
      </c>
      <c r="J11" s="38" t="s">
        <v>828</v>
      </c>
      <c r="K11" s="38" t="s">
        <v>90</v>
      </c>
      <c r="L11" s="38">
        <v>16</v>
      </c>
      <c r="M11" s="45">
        <v>0.64</v>
      </c>
      <c r="N11" s="38">
        <v>7</v>
      </c>
      <c r="O11" s="45">
        <v>0.7</v>
      </c>
      <c r="P11" s="38">
        <v>17</v>
      </c>
      <c r="Q11" s="13">
        <v>0.56666666666666665</v>
      </c>
      <c r="R11" s="38">
        <v>29</v>
      </c>
      <c r="S11" s="13">
        <v>0.82857142857142863</v>
      </c>
      <c r="T11" s="38">
        <v>69</v>
      </c>
      <c r="U11" s="13">
        <v>0.69</v>
      </c>
      <c r="V11" s="13" t="s">
        <v>111</v>
      </c>
      <c r="W11" s="55" t="s">
        <v>823</v>
      </c>
      <c r="X11" s="57">
        <v>46011</v>
      </c>
      <c r="Y11" s="38" t="s">
        <v>1279</v>
      </c>
      <c r="Z11" s="36" t="s">
        <v>845</v>
      </c>
    </row>
    <row r="12" spans="1:26" x14ac:dyDescent="0.25">
      <c r="A12" s="12">
        <v>11</v>
      </c>
      <c r="B12" s="40" t="s">
        <v>891</v>
      </c>
      <c r="C12" s="38" t="s">
        <v>976</v>
      </c>
      <c r="D12" s="38" t="s">
        <v>1063</v>
      </c>
      <c r="E12" s="38" t="s">
        <v>1150</v>
      </c>
      <c r="F12" s="38"/>
      <c r="G12" s="38" t="s">
        <v>1237</v>
      </c>
      <c r="H12" s="12" t="s">
        <v>39</v>
      </c>
      <c r="I12" s="50" t="s">
        <v>109</v>
      </c>
      <c r="J12" s="38" t="s">
        <v>828</v>
      </c>
      <c r="K12" s="38" t="s">
        <v>90</v>
      </c>
      <c r="L12" s="38">
        <v>5</v>
      </c>
      <c r="M12" s="45">
        <v>0.2</v>
      </c>
      <c r="N12" s="38">
        <v>4</v>
      </c>
      <c r="O12" s="45">
        <v>0.4</v>
      </c>
      <c r="P12" s="38">
        <v>13</v>
      </c>
      <c r="Q12" s="13">
        <v>0.43333333333333329</v>
      </c>
      <c r="R12" s="38">
        <v>28</v>
      </c>
      <c r="S12" s="13">
        <v>0.8</v>
      </c>
      <c r="T12" s="38">
        <v>50</v>
      </c>
      <c r="U12" s="13">
        <v>0.5</v>
      </c>
      <c r="V12" s="13" t="s">
        <v>111</v>
      </c>
      <c r="W12" s="55" t="s">
        <v>823</v>
      </c>
      <c r="X12" s="57">
        <v>46011</v>
      </c>
      <c r="Y12" s="38" t="s">
        <v>1279</v>
      </c>
      <c r="Z12" s="36" t="s">
        <v>845</v>
      </c>
    </row>
    <row r="13" spans="1:26" x14ac:dyDescent="0.25">
      <c r="A13" s="12">
        <v>12</v>
      </c>
      <c r="B13" s="40" t="s">
        <v>871</v>
      </c>
      <c r="C13" s="38" t="s">
        <v>977</v>
      </c>
      <c r="D13" s="38" t="s">
        <v>1064</v>
      </c>
      <c r="E13" s="38" t="s">
        <v>1151</v>
      </c>
      <c r="F13" s="38"/>
      <c r="G13" s="38" t="s">
        <v>1238</v>
      </c>
      <c r="H13" s="12" t="s">
        <v>39</v>
      </c>
      <c r="I13" s="50" t="s">
        <v>109</v>
      </c>
      <c r="J13" s="38" t="s">
        <v>828</v>
      </c>
      <c r="K13" s="38" t="s">
        <v>90</v>
      </c>
      <c r="L13" s="38">
        <v>14</v>
      </c>
      <c r="M13" s="45">
        <v>0.56000000000000005</v>
      </c>
      <c r="N13" s="38">
        <v>8</v>
      </c>
      <c r="O13" s="45">
        <v>0.8</v>
      </c>
      <c r="P13" s="38">
        <v>16</v>
      </c>
      <c r="Q13" s="13">
        <v>0.53333333333333333</v>
      </c>
      <c r="R13" s="38">
        <v>26</v>
      </c>
      <c r="S13" s="13">
        <v>0.74285714285714288</v>
      </c>
      <c r="T13" s="38">
        <v>64</v>
      </c>
      <c r="U13" s="13">
        <v>0.64</v>
      </c>
      <c r="V13" s="13" t="s">
        <v>111</v>
      </c>
      <c r="W13" s="55" t="s">
        <v>823</v>
      </c>
      <c r="X13" s="57">
        <v>46011</v>
      </c>
      <c r="Y13" s="38" t="s">
        <v>1279</v>
      </c>
      <c r="Z13" s="36" t="s">
        <v>1280</v>
      </c>
    </row>
    <row r="14" spans="1:26" x14ac:dyDescent="0.25">
      <c r="A14" s="12">
        <v>13</v>
      </c>
      <c r="B14" s="40" t="s">
        <v>892</v>
      </c>
      <c r="C14" s="38" t="s">
        <v>978</v>
      </c>
      <c r="D14" s="38" t="s">
        <v>1065</v>
      </c>
      <c r="E14" s="38" t="s">
        <v>1152</v>
      </c>
      <c r="F14" s="38"/>
      <c r="G14" s="38" t="s">
        <v>1239</v>
      </c>
      <c r="H14" s="12" t="s">
        <v>39</v>
      </c>
      <c r="I14" s="50" t="s">
        <v>109</v>
      </c>
      <c r="J14" s="38" t="s">
        <v>828</v>
      </c>
      <c r="K14" s="38" t="s">
        <v>90</v>
      </c>
      <c r="L14" s="38">
        <v>17</v>
      </c>
      <c r="M14" s="45">
        <v>0.68</v>
      </c>
      <c r="N14" s="38">
        <v>8</v>
      </c>
      <c r="O14" s="45">
        <v>0.8</v>
      </c>
      <c r="P14" s="38">
        <v>26</v>
      </c>
      <c r="Q14" s="13">
        <v>0.8666666666666667</v>
      </c>
      <c r="R14" s="38">
        <v>35</v>
      </c>
      <c r="S14" s="13">
        <v>1</v>
      </c>
      <c r="T14" s="38">
        <v>86</v>
      </c>
      <c r="U14" s="13">
        <v>0.86</v>
      </c>
      <c r="V14" s="13" t="s">
        <v>111</v>
      </c>
      <c r="W14" s="55" t="s">
        <v>823</v>
      </c>
      <c r="X14" s="57">
        <v>46011</v>
      </c>
      <c r="Y14" s="38" t="s">
        <v>1279</v>
      </c>
      <c r="Z14" s="36" t="s">
        <v>1280</v>
      </c>
    </row>
    <row r="15" spans="1:26" x14ac:dyDescent="0.25">
      <c r="A15" s="12">
        <v>14</v>
      </c>
      <c r="B15" s="40" t="s">
        <v>893</v>
      </c>
      <c r="C15" s="38" t="s">
        <v>979</v>
      </c>
      <c r="D15" s="38" t="s">
        <v>1066</v>
      </c>
      <c r="E15" s="38" t="s">
        <v>1153</v>
      </c>
      <c r="F15" s="38"/>
      <c r="G15" s="38" t="s">
        <v>1240</v>
      </c>
      <c r="H15" s="12" t="s">
        <v>39</v>
      </c>
      <c r="I15" s="50" t="s">
        <v>109</v>
      </c>
      <c r="J15" s="38" t="s">
        <v>828</v>
      </c>
      <c r="K15" s="38" t="s">
        <v>90</v>
      </c>
      <c r="L15" s="38">
        <v>20</v>
      </c>
      <c r="M15" s="45">
        <v>0.8</v>
      </c>
      <c r="N15" s="38">
        <v>8</v>
      </c>
      <c r="O15" s="45">
        <v>0.8</v>
      </c>
      <c r="P15" s="38">
        <v>11</v>
      </c>
      <c r="Q15" s="13">
        <v>0.36666666666666659</v>
      </c>
      <c r="R15" s="38">
        <v>32</v>
      </c>
      <c r="S15" s="13">
        <v>0.91428571428571426</v>
      </c>
      <c r="T15" s="38">
        <v>71</v>
      </c>
      <c r="U15" s="13">
        <v>0.71</v>
      </c>
      <c r="V15" s="13" t="s">
        <v>111</v>
      </c>
      <c r="W15" s="55" t="s">
        <v>823</v>
      </c>
      <c r="X15" s="57">
        <v>46011</v>
      </c>
      <c r="Y15" s="38" t="s">
        <v>1279</v>
      </c>
      <c r="Z15" s="36" t="s">
        <v>1280</v>
      </c>
    </row>
    <row r="16" spans="1:26" x14ac:dyDescent="0.25">
      <c r="A16" s="12">
        <v>15</v>
      </c>
      <c r="B16" s="40" t="s">
        <v>898</v>
      </c>
      <c r="C16" s="38" t="s">
        <v>984</v>
      </c>
      <c r="D16" s="38" t="s">
        <v>1071</v>
      </c>
      <c r="E16" s="38" t="s">
        <v>1158</v>
      </c>
      <c r="F16" s="38"/>
      <c r="G16" s="38" t="s">
        <v>1245</v>
      </c>
      <c r="H16" s="12" t="s">
        <v>39</v>
      </c>
      <c r="I16" s="50" t="s">
        <v>34</v>
      </c>
      <c r="J16" s="38" t="s">
        <v>828</v>
      </c>
      <c r="K16" s="38" t="s">
        <v>90</v>
      </c>
      <c r="L16" s="38">
        <v>12</v>
      </c>
      <c r="M16" s="45">
        <v>0.48</v>
      </c>
      <c r="N16" s="38">
        <v>3</v>
      </c>
      <c r="O16" s="45">
        <v>0.3</v>
      </c>
      <c r="P16" s="38">
        <v>20</v>
      </c>
      <c r="Q16" s="13">
        <v>0.66666666666666663</v>
      </c>
      <c r="R16" s="38">
        <v>23</v>
      </c>
      <c r="S16" s="13">
        <v>0.65714285714285714</v>
      </c>
      <c r="T16" s="38">
        <v>58</v>
      </c>
      <c r="U16" s="13">
        <v>0.57999999999999996</v>
      </c>
      <c r="V16" s="13" t="s">
        <v>111</v>
      </c>
      <c r="W16" s="55" t="s">
        <v>823</v>
      </c>
      <c r="X16" s="57">
        <v>46011</v>
      </c>
      <c r="Y16" s="38" t="s">
        <v>1279</v>
      </c>
      <c r="Z16" s="36" t="s">
        <v>1280</v>
      </c>
    </row>
    <row r="17" spans="1:26" x14ac:dyDescent="0.25">
      <c r="A17" s="12">
        <v>16</v>
      </c>
      <c r="B17" s="40" t="s">
        <v>899</v>
      </c>
      <c r="C17" s="38" t="s">
        <v>985</v>
      </c>
      <c r="D17" s="38" t="s">
        <v>1072</v>
      </c>
      <c r="E17" s="38" t="s">
        <v>1159</v>
      </c>
      <c r="F17" s="38"/>
      <c r="G17" s="38" t="s">
        <v>1246</v>
      </c>
      <c r="H17" s="12" t="s">
        <v>39</v>
      </c>
      <c r="I17" s="50" t="s">
        <v>34</v>
      </c>
      <c r="J17" s="38" t="s">
        <v>828</v>
      </c>
      <c r="K17" s="38" t="s">
        <v>90</v>
      </c>
      <c r="L17" s="38">
        <v>11</v>
      </c>
      <c r="M17" s="45">
        <v>0.44</v>
      </c>
      <c r="N17" s="38">
        <v>4</v>
      </c>
      <c r="O17" s="45">
        <v>0.4</v>
      </c>
      <c r="P17" s="38">
        <v>18</v>
      </c>
      <c r="Q17" s="13">
        <v>0.6</v>
      </c>
      <c r="R17" s="38">
        <v>21</v>
      </c>
      <c r="S17" s="13">
        <v>0.6</v>
      </c>
      <c r="T17" s="38">
        <v>54</v>
      </c>
      <c r="U17" s="13">
        <v>0.54</v>
      </c>
      <c r="V17" s="13" t="s">
        <v>111</v>
      </c>
      <c r="W17" s="55" t="s">
        <v>823</v>
      </c>
      <c r="X17" s="57">
        <v>46011</v>
      </c>
      <c r="Y17" s="38" t="s">
        <v>1279</v>
      </c>
      <c r="Z17" s="36" t="s">
        <v>1280</v>
      </c>
    </row>
    <row r="18" spans="1:26" x14ac:dyDescent="0.25">
      <c r="A18" s="12">
        <v>17</v>
      </c>
      <c r="B18" s="40" t="s">
        <v>900</v>
      </c>
      <c r="C18" s="38" t="s">
        <v>986</v>
      </c>
      <c r="D18" s="38" t="s">
        <v>1073</v>
      </c>
      <c r="E18" s="38" t="s">
        <v>1160</v>
      </c>
      <c r="F18" s="38"/>
      <c r="G18" s="38" t="s">
        <v>1247</v>
      </c>
      <c r="H18" s="12" t="s">
        <v>39</v>
      </c>
      <c r="I18" s="50" t="s">
        <v>34</v>
      </c>
      <c r="J18" s="38" t="s">
        <v>828</v>
      </c>
      <c r="K18" s="38" t="s">
        <v>90</v>
      </c>
      <c r="L18" s="38">
        <v>12</v>
      </c>
      <c r="M18" s="45">
        <v>0.48</v>
      </c>
      <c r="N18" s="38">
        <v>6</v>
      </c>
      <c r="O18" s="45">
        <v>0.6</v>
      </c>
      <c r="P18" s="38">
        <v>21</v>
      </c>
      <c r="Q18" s="13">
        <v>0.7</v>
      </c>
      <c r="R18" s="38">
        <v>32</v>
      </c>
      <c r="S18" s="13">
        <v>0.91428571428571426</v>
      </c>
      <c r="T18" s="38">
        <v>71</v>
      </c>
      <c r="U18" s="13">
        <v>0.71</v>
      </c>
      <c r="V18" s="13" t="s">
        <v>111</v>
      </c>
      <c r="W18" s="55" t="s">
        <v>823</v>
      </c>
      <c r="X18" s="57">
        <v>46011</v>
      </c>
      <c r="Y18" s="38" t="s">
        <v>1279</v>
      </c>
      <c r="Z18" s="36" t="s">
        <v>845</v>
      </c>
    </row>
    <row r="19" spans="1:26" x14ac:dyDescent="0.25">
      <c r="A19" s="12">
        <v>18</v>
      </c>
      <c r="B19" s="40" t="s">
        <v>901</v>
      </c>
      <c r="C19" s="38" t="s">
        <v>987</v>
      </c>
      <c r="D19" s="38" t="s">
        <v>1074</v>
      </c>
      <c r="E19" s="38" t="s">
        <v>1161</v>
      </c>
      <c r="F19" s="38"/>
      <c r="G19" s="38" t="s">
        <v>1248</v>
      </c>
      <c r="H19" s="12" t="s">
        <v>39</v>
      </c>
      <c r="I19" s="50" t="s">
        <v>34</v>
      </c>
      <c r="J19" s="38" t="s">
        <v>828</v>
      </c>
      <c r="K19" s="38" t="s">
        <v>90</v>
      </c>
      <c r="L19" s="38">
        <v>10</v>
      </c>
      <c r="M19" s="45">
        <v>0.4</v>
      </c>
      <c r="N19" s="38">
        <v>8</v>
      </c>
      <c r="O19" s="45">
        <v>0.8</v>
      </c>
      <c r="P19" s="38">
        <v>18</v>
      </c>
      <c r="Q19" s="13">
        <v>0.6</v>
      </c>
      <c r="R19" s="38">
        <v>29</v>
      </c>
      <c r="S19" s="13">
        <v>0.82857142857142863</v>
      </c>
      <c r="T19" s="38">
        <v>65</v>
      </c>
      <c r="U19" s="13">
        <v>0.65</v>
      </c>
      <c r="V19" s="13" t="s">
        <v>111</v>
      </c>
      <c r="W19" s="55" t="s">
        <v>823</v>
      </c>
      <c r="X19" s="57">
        <v>46011</v>
      </c>
      <c r="Y19" s="38" t="s">
        <v>1279</v>
      </c>
      <c r="Z19" s="36" t="s">
        <v>1280</v>
      </c>
    </row>
    <row r="20" spans="1:26" x14ac:dyDescent="0.25">
      <c r="A20" s="12">
        <v>19</v>
      </c>
      <c r="B20" s="40" t="s">
        <v>902</v>
      </c>
      <c r="C20" s="38" t="s">
        <v>988</v>
      </c>
      <c r="D20" s="38" t="s">
        <v>1075</v>
      </c>
      <c r="E20" s="38" t="s">
        <v>1162</v>
      </c>
      <c r="F20" s="38"/>
      <c r="G20" s="38" t="s">
        <v>1249</v>
      </c>
      <c r="H20" s="12" t="s">
        <v>39</v>
      </c>
      <c r="I20" s="50" t="s">
        <v>34</v>
      </c>
      <c r="J20" s="38" t="s">
        <v>828</v>
      </c>
      <c r="K20" s="38" t="s">
        <v>90</v>
      </c>
      <c r="L20" s="38">
        <v>19</v>
      </c>
      <c r="M20" s="45">
        <v>0.76</v>
      </c>
      <c r="N20" s="38">
        <v>7</v>
      </c>
      <c r="O20" s="45">
        <v>0.7</v>
      </c>
      <c r="P20" s="38">
        <v>24</v>
      </c>
      <c r="Q20" s="13">
        <v>0.8</v>
      </c>
      <c r="R20" s="38">
        <v>30</v>
      </c>
      <c r="S20" s="13">
        <v>0.8571428571428571</v>
      </c>
      <c r="T20" s="38">
        <v>80</v>
      </c>
      <c r="U20" s="13">
        <v>0.8</v>
      </c>
      <c r="V20" s="13" t="s">
        <v>111</v>
      </c>
      <c r="W20" s="55" t="s">
        <v>823</v>
      </c>
      <c r="X20" s="57">
        <v>46011</v>
      </c>
      <c r="Y20" s="38" t="s">
        <v>1279</v>
      </c>
      <c r="Z20" s="36" t="s">
        <v>1280</v>
      </c>
    </row>
    <row r="21" spans="1:26" x14ac:dyDescent="0.25">
      <c r="A21" s="12">
        <v>20</v>
      </c>
      <c r="B21" s="40" t="s">
        <v>903</v>
      </c>
      <c r="C21" s="38" t="s">
        <v>989</v>
      </c>
      <c r="D21" s="38" t="s">
        <v>1076</v>
      </c>
      <c r="E21" s="38" t="s">
        <v>1163</v>
      </c>
      <c r="F21" s="38"/>
      <c r="G21" s="38" t="s">
        <v>1250</v>
      </c>
      <c r="H21" s="12" t="s">
        <v>39</v>
      </c>
      <c r="I21" s="50" t="s">
        <v>34</v>
      </c>
      <c r="J21" s="38" t="s">
        <v>828</v>
      </c>
      <c r="K21" s="38" t="s">
        <v>90</v>
      </c>
      <c r="L21" s="38">
        <v>20</v>
      </c>
      <c r="M21" s="45">
        <v>0.8</v>
      </c>
      <c r="N21" s="38">
        <v>9</v>
      </c>
      <c r="O21" s="45">
        <v>0.9</v>
      </c>
      <c r="P21" s="38">
        <v>20</v>
      </c>
      <c r="Q21" s="13">
        <v>0.66666666666666663</v>
      </c>
      <c r="R21" s="38">
        <v>31</v>
      </c>
      <c r="S21" s="13">
        <v>0.88571428571428568</v>
      </c>
      <c r="T21" s="38">
        <v>80</v>
      </c>
      <c r="U21" s="13">
        <v>0.8</v>
      </c>
      <c r="V21" s="13" t="s">
        <v>111</v>
      </c>
      <c r="W21" s="55" t="s">
        <v>823</v>
      </c>
      <c r="X21" s="57">
        <v>46011</v>
      </c>
      <c r="Y21" s="38" t="s">
        <v>1279</v>
      </c>
      <c r="Z21" s="36" t="s">
        <v>845</v>
      </c>
    </row>
    <row r="22" spans="1:26" x14ac:dyDescent="0.25">
      <c r="A22" s="12">
        <v>21</v>
      </c>
      <c r="B22" s="40" t="s">
        <v>904</v>
      </c>
      <c r="C22" s="38" t="s">
        <v>990</v>
      </c>
      <c r="D22" s="38" t="s">
        <v>1077</v>
      </c>
      <c r="E22" s="38" t="s">
        <v>1164</v>
      </c>
      <c r="F22" s="38"/>
      <c r="G22" s="38" t="s">
        <v>1251</v>
      </c>
      <c r="H22" s="12" t="s">
        <v>39</v>
      </c>
      <c r="I22" s="50" t="s">
        <v>34</v>
      </c>
      <c r="J22" s="38" t="s">
        <v>828</v>
      </c>
      <c r="K22" s="38" t="s">
        <v>90</v>
      </c>
      <c r="L22" s="38">
        <v>17</v>
      </c>
      <c r="M22" s="45">
        <v>0.68</v>
      </c>
      <c r="N22" s="38">
        <v>8</v>
      </c>
      <c r="O22" s="45">
        <v>0.8</v>
      </c>
      <c r="P22" s="38">
        <v>26</v>
      </c>
      <c r="Q22" s="13">
        <v>0.8666666666666667</v>
      </c>
      <c r="R22" s="38">
        <v>33</v>
      </c>
      <c r="S22" s="13">
        <v>0.94285714285714284</v>
      </c>
      <c r="T22" s="38">
        <v>84</v>
      </c>
      <c r="U22" s="13">
        <v>0.84</v>
      </c>
      <c r="V22" s="13" t="s">
        <v>111</v>
      </c>
      <c r="W22" s="55" t="s">
        <v>823</v>
      </c>
      <c r="X22" s="57">
        <v>46011</v>
      </c>
      <c r="Y22" s="38" t="s">
        <v>1279</v>
      </c>
      <c r="Z22" s="36" t="s">
        <v>845</v>
      </c>
    </row>
    <row r="23" spans="1:26" x14ac:dyDescent="0.25">
      <c r="A23" s="12">
        <v>22</v>
      </c>
      <c r="B23" s="40" t="s">
        <v>905</v>
      </c>
      <c r="C23" s="38" t="s">
        <v>991</v>
      </c>
      <c r="D23" s="38" t="s">
        <v>1078</v>
      </c>
      <c r="E23" s="38" t="s">
        <v>1165</v>
      </c>
      <c r="F23" s="38"/>
      <c r="G23" s="38" t="s">
        <v>1252</v>
      </c>
      <c r="H23" s="12" t="s">
        <v>39</v>
      </c>
      <c r="I23" s="50" t="s">
        <v>34</v>
      </c>
      <c r="J23" s="38" t="s">
        <v>828</v>
      </c>
      <c r="K23" s="38" t="s">
        <v>90</v>
      </c>
      <c r="L23" s="38">
        <v>17</v>
      </c>
      <c r="M23" s="45">
        <v>0.68</v>
      </c>
      <c r="N23" s="38">
        <v>7</v>
      </c>
      <c r="O23" s="45">
        <v>0.7</v>
      </c>
      <c r="P23" s="38">
        <v>26</v>
      </c>
      <c r="Q23" s="13">
        <v>0.8666666666666667</v>
      </c>
      <c r="R23" s="38">
        <v>29</v>
      </c>
      <c r="S23" s="13">
        <v>0.82857142857142863</v>
      </c>
      <c r="T23" s="38">
        <v>79</v>
      </c>
      <c r="U23" s="13">
        <v>0.79</v>
      </c>
      <c r="V23" s="13" t="s">
        <v>111</v>
      </c>
      <c r="W23" s="55" t="s">
        <v>823</v>
      </c>
      <c r="X23" s="57">
        <v>46011</v>
      </c>
      <c r="Y23" s="38" t="s">
        <v>1279</v>
      </c>
      <c r="Z23" s="36" t="s">
        <v>845</v>
      </c>
    </row>
    <row r="24" spans="1:26" x14ac:dyDescent="0.25">
      <c r="A24" s="12">
        <v>23</v>
      </c>
      <c r="B24" s="40" t="s">
        <v>906</v>
      </c>
      <c r="C24" s="38" t="s">
        <v>992</v>
      </c>
      <c r="D24" s="38" t="s">
        <v>1079</v>
      </c>
      <c r="E24" s="38" t="s">
        <v>1166</v>
      </c>
      <c r="F24" s="38">
        <v>905612939</v>
      </c>
      <c r="G24" s="38" t="s">
        <v>1253</v>
      </c>
      <c r="H24" s="12" t="s">
        <v>39</v>
      </c>
      <c r="I24" s="50" t="s">
        <v>34</v>
      </c>
      <c r="J24" s="38" t="s">
        <v>828</v>
      </c>
      <c r="K24" s="38" t="s">
        <v>90</v>
      </c>
      <c r="L24" s="38">
        <v>16</v>
      </c>
      <c r="M24" s="45">
        <v>0.64</v>
      </c>
      <c r="N24" s="38">
        <v>5</v>
      </c>
      <c r="O24" s="45">
        <v>0.5</v>
      </c>
      <c r="P24" s="38">
        <v>24</v>
      </c>
      <c r="Q24" s="13">
        <v>0.8</v>
      </c>
      <c r="R24" s="38">
        <v>31</v>
      </c>
      <c r="S24" s="13">
        <v>0.88571428571428568</v>
      </c>
      <c r="T24" s="38">
        <v>76</v>
      </c>
      <c r="U24" s="13">
        <v>0.76</v>
      </c>
      <c r="V24" s="13" t="s">
        <v>111</v>
      </c>
      <c r="W24" s="55" t="s">
        <v>823</v>
      </c>
      <c r="X24" s="57">
        <v>46011</v>
      </c>
      <c r="Y24" s="38" t="s">
        <v>1279</v>
      </c>
      <c r="Z24" s="36" t="s">
        <v>1280</v>
      </c>
    </row>
    <row r="25" spans="1:26" x14ac:dyDescent="0.25">
      <c r="A25" s="12">
        <v>24</v>
      </c>
      <c r="B25" s="40" t="s">
        <v>907</v>
      </c>
      <c r="C25" s="38" t="s">
        <v>993</v>
      </c>
      <c r="D25" s="38" t="s">
        <v>1080</v>
      </c>
      <c r="E25" s="38" t="s">
        <v>1167</v>
      </c>
      <c r="F25" s="38"/>
      <c r="G25" s="38" t="s">
        <v>1254</v>
      </c>
      <c r="H25" s="12" t="s">
        <v>39</v>
      </c>
      <c r="I25" s="50" t="s">
        <v>34</v>
      </c>
      <c r="J25" s="38" t="s">
        <v>828</v>
      </c>
      <c r="K25" s="38" t="s">
        <v>90</v>
      </c>
      <c r="L25" s="38">
        <v>11</v>
      </c>
      <c r="M25" s="45">
        <v>0.44</v>
      </c>
      <c r="N25" s="38">
        <v>7</v>
      </c>
      <c r="O25" s="45">
        <v>0.7</v>
      </c>
      <c r="P25" s="38">
        <v>10</v>
      </c>
      <c r="Q25" s="13">
        <v>0.33333333333333331</v>
      </c>
      <c r="R25" s="38">
        <v>30</v>
      </c>
      <c r="S25" s="13">
        <v>0.8571428571428571</v>
      </c>
      <c r="T25" s="38">
        <v>58</v>
      </c>
      <c r="U25" s="13">
        <v>0.57999999999999996</v>
      </c>
      <c r="V25" s="13" t="s">
        <v>111</v>
      </c>
      <c r="W25" s="55" t="s">
        <v>823</v>
      </c>
      <c r="X25" s="57">
        <v>46011</v>
      </c>
      <c r="Y25" s="38" t="s">
        <v>1279</v>
      </c>
      <c r="Z25" s="36" t="s">
        <v>1280</v>
      </c>
    </row>
    <row r="26" spans="1:26" x14ac:dyDescent="0.25">
      <c r="A26" s="12">
        <v>25</v>
      </c>
      <c r="B26" s="40" t="s">
        <v>908</v>
      </c>
      <c r="C26" s="38" t="s">
        <v>994</v>
      </c>
      <c r="D26" s="38" t="s">
        <v>1081</v>
      </c>
      <c r="E26" s="38" t="s">
        <v>1168</v>
      </c>
      <c r="F26" s="38"/>
      <c r="G26" s="38" t="s">
        <v>1255</v>
      </c>
      <c r="H26" s="12" t="s">
        <v>39</v>
      </c>
      <c r="I26" s="50" t="s">
        <v>110</v>
      </c>
      <c r="J26" s="38" t="s">
        <v>828</v>
      </c>
      <c r="K26" s="38" t="s">
        <v>90</v>
      </c>
      <c r="L26" s="38">
        <v>19</v>
      </c>
      <c r="M26" s="45">
        <v>0.76</v>
      </c>
      <c r="N26" s="38">
        <v>9</v>
      </c>
      <c r="O26" s="45">
        <v>0.9</v>
      </c>
      <c r="P26" s="38">
        <v>13</v>
      </c>
      <c r="Q26" s="13">
        <v>0.43333333333333329</v>
      </c>
      <c r="R26" s="38">
        <v>15</v>
      </c>
      <c r="S26" s="13">
        <v>0.42857142857142849</v>
      </c>
      <c r="T26" s="38">
        <v>56</v>
      </c>
      <c r="U26" s="13">
        <v>0.56000000000000005</v>
      </c>
      <c r="V26" s="13" t="s">
        <v>111</v>
      </c>
      <c r="W26" s="55" t="s">
        <v>823</v>
      </c>
      <c r="X26" s="57">
        <v>46011</v>
      </c>
      <c r="Y26" s="38" t="s">
        <v>1279</v>
      </c>
      <c r="Z26" s="36" t="s">
        <v>1280</v>
      </c>
    </row>
    <row r="27" spans="1:26" x14ac:dyDescent="0.25">
      <c r="A27" s="12">
        <v>26</v>
      </c>
      <c r="B27" s="40" t="s">
        <v>909</v>
      </c>
      <c r="C27" s="38" t="s">
        <v>995</v>
      </c>
      <c r="D27" s="38" t="s">
        <v>1082</v>
      </c>
      <c r="E27" s="38" t="s">
        <v>1169</v>
      </c>
      <c r="F27" s="38"/>
      <c r="G27" s="38" t="s">
        <v>1256</v>
      </c>
      <c r="H27" s="12" t="s">
        <v>39</v>
      </c>
      <c r="I27" s="50" t="s">
        <v>110</v>
      </c>
      <c r="J27" s="38" t="s">
        <v>828</v>
      </c>
      <c r="K27" s="38" t="s">
        <v>90</v>
      </c>
      <c r="L27" s="38">
        <v>13</v>
      </c>
      <c r="M27" s="45">
        <v>0.52</v>
      </c>
      <c r="N27" s="38">
        <v>6</v>
      </c>
      <c r="O27" s="45">
        <v>0.6</v>
      </c>
      <c r="P27" s="38">
        <v>13</v>
      </c>
      <c r="Q27" s="13">
        <v>0.43333333333333329</v>
      </c>
      <c r="R27" s="38">
        <v>28</v>
      </c>
      <c r="S27" s="13">
        <v>0.8</v>
      </c>
      <c r="T27" s="38">
        <v>60</v>
      </c>
      <c r="U27" s="13">
        <v>0.6</v>
      </c>
      <c r="V27" s="13" t="s">
        <v>111</v>
      </c>
      <c r="W27" s="55" t="s">
        <v>823</v>
      </c>
      <c r="X27" s="57">
        <v>46011</v>
      </c>
      <c r="Y27" s="38" t="s">
        <v>1279</v>
      </c>
      <c r="Z27" s="36" t="s">
        <v>1280</v>
      </c>
    </row>
    <row r="28" spans="1:26" x14ac:dyDescent="0.25">
      <c r="A28" s="12">
        <v>27</v>
      </c>
      <c r="B28" s="40" t="s">
        <v>910</v>
      </c>
      <c r="C28" s="38" t="s">
        <v>996</v>
      </c>
      <c r="D28" s="38" t="s">
        <v>1083</v>
      </c>
      <c r="E28" s="38" t="s">
        <v>1170</v>
      </c>
      <c r="F28" s="38"/>
      <c r="G28" s="38" t="s">
        <v>1257</v>
      </c>
      <c r="H28" s="12" t="s">
        <v>39</v>
      </c>
      <c r="I28" s="50" t="s">
        <v>110</v>
      </c>
      <c r="J28" s="38" t="s">
        <v>828</v>
      </c>
      <c r="K28" s="38" t="s">
        <v>90</v>
      </c>
      <c r="L28" s="38">
        <v>8</v>
      </c>
      <c r="M28" s="45">
        <v>0.32</v>
      </c>
      <c r="N28" s="38">
        <v>8</v>
      </c>
      <c r="O28" s="45">
        <v>0.8</v>
      </c>
      <c r="P28" s="38">
        <v>23</v>
      </c>
      <c r="Q28" s="13">
        <v>0.76666666666666672</v>
      </c>
      <c r="R28" s="38">
        <v>13</v>
      </c>
      <c r="S28" s="13">
        <v>0.37142857142857139</v>
      </c>
      <c r="T28" s="38">
        <v>52</v>
      </c>
      <c r="U28" s="13">
        <v>0.52</v>
      </c>
      <c r="V28" s="13" t="s">
        <v>111</v>
      </c>
      <c r="W28" s="55" t="s">
        <v>823</v>
      </c>
      <c r="X28" s="57">
        <v>46011</v>
      </c>
      <c r="Y28" s="38" t="s">
        <v>1279</v>
      </c>
      <c r="Z28" s="36" t="s">
        <v>1280</v>
      </c>
    </row>
    <row r="29" spans="1:26" x14ac:dyDescent="0.25">
      <c r="A29" s="12">
        <v>28</v>
      </c>
      <c r="B29" s="40" t="s">
        <v>911</v>
      </c>
      <c r="C29" s="38" t="s">
        <v>997</v>
      </c>
      <c r="D29" s="38" t="s">
        <v>1084</v>
      </c>
      <c r="E29" s="38" t="s">
        <v>1171</v>
      </c>
      <c r="F29" s="38"/>
      <c r="G29" s="38" t="s">
        <v>1258</v>
      </c>
      <c r="H29" s="12" t="s">
        <v>39</v>
      </c>
      <c r="I29" s="50" t="s">
        <v>110</v>
      </c>
      <c r="J29" s="38" t="s">
        <v>828</v>
      </c>
      <c r="K29" s="38" t="s">
        <v>90</v>
      </c>
      <c r="L29" s="38">
        <v>17</v>
      </c>
      <c r="M29" s="45">
        <v>0.68</v>
      </c>
      <c r="N29" s="38">
        <v>8</v>
      </c>
      <c r="O29" s="45">
        <v>0.8</v>
      </c>
      <c r="P29" s="38">
        <v>23</v>
      </c>
      <c r="Q29" s="13">
        <v>0.76666666666666672</v>
      </c>
      <c r="R29" s="38">
        <v>29</v>
      </c>
      <c r="S29" s="13">
        <v>0.82857142857142863</v>
      </c>
      <c r="T29" s="38">
        <v>77</v>
      </c>
      <c r="U29" s="13">
        <v>0.77</v>
      </c>
      <c r="V29" s="13" t="s">
        <v>111</v>
      </c>
      <c r="W29" s="55" t="s">
        <v>823</v>
      </c>
      <c r="X29" s="57">
        <v>46011</v>
      </c>
      <c r="Y29" s="38" t="s">
        <v>1279</v>
      </c>
      <c r="Z29" s="36" t="s">
        <v>845</v>
      </c>
    </row>
    <row r="30" spans="1:26" x14ac:dyDescent="0.25">
      <c r="A30" s="12">
        <v>29</v>
      </c>
      <c r="B30" s="40" t="s">
        <v>912</v>
      </c>
      <c r="C30" s="38" t="s">
        <v>998</v>
      </c>
      <c r="D30" s="38" t="s">
        <v>1085</v>
      </c>
      <c r="E30" s="38" t="s">
        <v>1172</v>
      </c>
      <c r="F30" s="38"/>
      <c r="G30" s="38" t="s">
        <v>1259</v>
      </c>
      <c r="H30" s="12" t="s">
        <v>39</v>
      </c>
      <c r="I30" s="50" t="s">
        <v>110</v>
      </c>
      <c r="J30" s="38" t="s">
        <v>828</v>
      </c>
      <c r="K30" s="38" t="s">
        <v>90</v>
      </c>
      <c r="L30" s="38">
        <v>12</v>
      </c>
      <c r="M30" s="45">
        <v>0.48</v>
      </c>
      <c r="N30" s="38">
        <v>8</v>
      </c>
      <c r="O30" s="45">
        <v>0.8</v>
      </c>
      <c r="P30" s="38">
        <v>23</v>
      </c>
      <c r="Q30" s="13">
        <v>0.76666666666666672</v>
      </c>
      <c r="R30" s="38">
        <v>23</v>
      </c>
      <c r="S30" s="13">
        <v>0.65714285714285714</v>
      </c>
      <c r="T30" s="38">
        <v>66</v>
      </c>
      <c r="U30" s="13">
        <v>0.66</v>
      </c>
      <c r="V30" s="13" t="s">
        <v>111</v>
      </c>
      <c r="W30" s="55" t="s">
        <v>823</v>
      </c>
      <c r="X30" s="57">
        <v>46011</v>
      </c>
      <c r="Y30" s="38" t="s">
        <v>1279</v>
      </c>
      <c r="Z30" s="36" t="s">
        <v>1280</v>
      </c>
    </row>
    <row r="31" spans="1:26" x14ac:dyDescent="0.25">
      <c r="A31" s="12">
        <v>30</v>
      </c>
      <c r="B31" s="40" t="s">
        <v>913</v>
      </c>
      <c r="C31" s="38" t="s">
        <v>999</v>
      </c>
      <c r="D31" s="38" t="s">
        <v>1086</v>
      </c>
      <c r="E31" s="38" t="s">
        <v>1173</v>
      </c>
      <c r="F31" s="38"/>
      <c r="G31" s="38" t="s">
        <v>1260</v>
      </c>
      <c r="H31" s="12" t="s">
        <v>39</v>
      </c>
      <c r="I31" s="50" t="s">
        <v>110</v>
      </c>
      <c r="J31" s="38" t="s">
        <v>828</v>
      </c>
      <c r="K31" s="38" t="s">
        <v>90</v>
      </c>
      <c r="L31" s="38">
        <v>16</v>
      </c>
      <c r="M31" s="45">
        <v>0.64</v>
      </c>
      <c r="N31" s="38">
        <v>8</v>
      </c>
      <c r="O31" s="45">
        <v>0.8</v>
      </c>
      <c r="P31" s="38">
        <v>6</v>
      </c>
      <c r="Q31" s="13">
        <v>0.2</v>
      </c>
      <c r="R31" s="38">
        <v>12</v>
      </c>
      <c r="S31" s="13">
        <v>0.34285714285714292</v>
      </c>
      <c r="T31" s="38">
        <v>42</v>
      </c>
      <c r="U31" s="13">
        <v>0.42</v>
      </c>
      <c r="V31" s="13" t="s">
        <v>111</v>
      </c>
      <c r="W31" s="55" t="s">
        <v>823</v>
      </c>
      <c r="X31" s="57">
        <v>46011</v>
      </c>
      <c r="Y31" s="38" t="s">
        <v>1279</v>
      </c>
      <c r="Z31" s="36" t="s">
        <v>845</v>
      </c>
    </row>
    <row r="32" spans="1:26" x14ac:dyDescent="0.25">
      <c r="A32" s="12">
        <v>31</v>
      </c>
      <c r="B32" s="40" t="s">
        <v>914</v>
      </c>
      <c r="C32" s="38" t="s">
        <v>1000</v>
      </c>
      <c r="D32" s="38" t="s">
        <v>1087</v>
      </c>
      <c r="E32" s="38" t="s">
        <v>1174</v>
      </c>
      <c r="F32" s="38"/>
      <c r="G32" s="38" t="s">
        <v>1261</v>
      </c>
      <c r="H32" s="12" t="s">
        <v>39</v>
      </c>
      <c r="I32" s="50" t="s">
        <v>110</v>
      </c>
      <c r="J32" s="38" t="s">
        <v>828</v>
      </c>
      <c r="K32" s="38" t="s">
        <v>90</v>
      </c>
      <c r="L32" s="38">
        <v>19</v>
      </c>
      <c r="M32" s="45">
        <v>0.76</v>
      </c>
      <c r="N32" s="38">
        <v>8</v>
      </c>
      <c r="O32" s="45">
        <v>0.8</v>
      </c>
      <c r="P32" s="38">
        <v>20</v>
      </c>
      <c r="Q32" s="13">
        <v>0.66666666666666663</v>
      </c>
      <c r="R32" s="38">
        <v>29</v>
      </c>
      <c r="S32" s="13">
        <v>0.82857142857142863</v>
      </c>
      <c r="T32" s="38">
        <v>76</v>
      </c>
      <c r="U32" s="13">
        <v>0.76</v>
      </c>
      <c r="V32" s="13" t="s">
        <v>111</v>
      </c>
      <c r="W32" s="55" t="s">
        <v>823</v>
      </c>
      <c r="X32" s="57">
        <v>46011</v>
      </c>
      <c r="Y32" s="38" t="s">
        <v>1279</v>
      </c>
      <c r="Z32" s="36" t="s">
        <v>845</v>
      </c>
    </row>
    <row r="33" spans="1:26" x14ac:dyDescent="0.25">
      <c r="A33" s="12">
        <v>32</v>
      </c>
      <c r="B33" s="40" t="s">
        <v>915</v>
      </c>
      <c r="C33" s="38" t="s">
        <v>1001</v>
      </c>
      <c r="D33" s="38" t="s">
        <v>1088</v>
      </c>
      <c r="E33" s="38" t="s">
        <v>1175</v>
      </c>
      <c r="F33" s="38"/>
      <c r="G33" s="38" t="s">
        <v>1262</v>
      </c>
      <c r="H33" s="12" t="s">
        <v>39</v>
      </c>
      <c r="I33" s="50" t="s">
        <v>110</v>
      </c>
      <c r="J33" s="38" t="s">
        <v>828</v>
      </c>
      <c r="K33" s="38" t="s">
        <v>90</v>
      </c>
      <c r="L33" s="38">
        <v>19</v>
      </c>
      <c r="M33" s="45">
        <v>0.76</v>
      </c>
      <c r="N33" s="38">
        <v>9</v>
      </c>
      <c r="O33" s="45">
        <v>0.9</v>
      </c>
      <c r="P33" s="38">
        <v>29</v>
      </c>
      <c r="Q33" s="13">
        <v>0.96666666666666667</v>
      </c>
      <c r="R33" s="38">
        <v>29</v>
      </c>
      <c r="S33" s="13">
        <v>0.82857142857142863</v>
      </c>
      <c r="T33" s="38">
        <v>86</v>
      </c>
      <c r="U33" s="13">
        <v>0.86</v>
      </c>
      <c r="V33" s="13" t="s">
        <v>111</v>
      </c>
      <c r="W33" s="55" t="s">
        <v>823</v>
      </c>
      <c r="X33" s="57">
        <v>46011</v>
      </c>
      <c r="Y33" s="38" t="s">
        <v>1279</v>
      </c>
      <c r="Z33" s="36" t="s">
        <v>845</v>
      </c>
    </row>
    <row r="34" spans="1:26" x14ac:dyDescent="0.25">
      <c r="A34" s="12">
        <v>33</v>
      </c>
      <c r="B34" s="40" t="s">
        <v>836</v>
      </c>
      <c r="C34" s="38" t="s">
        <v>837</v>
      </c>
      <c r="D34" s="38" t="s">
        <v>833</v>
      </c>
      <c r="E34" s="38" t="s">
        <v>830</v>
      </c>
      <c r="F34" s="38"/>
      <c r="G34" s="38" t="s">
        <v>841</v>
      </c>
      <c r="H34" s="12" t="s">
        <v>39</v>
      </c>
      <c r="I34" s="50" t="s">
        <v>110</v>
      </c>
      <c r="J34" s="38" t="s">
        <v>827</v>
      </c>
      <c r="K34" s="38" t="s">
        <v>90</v>
      </c>
      <c r="L34" s="38">
        <v>17</v>
      </c>
      <c r="M34" s="45">
        <v>0.68</v>
      </c>
      <c r="N34" s="38">
        <v>7</v>
      </c>
      <c r="O34" s="45">
        <v>0.7</v>
      </c>
      <c r="P34" s="38">
        <v>18</v>
      </c>
      <c r="Q34" s="13">
        <v>0.6</v>
      </c>
      <c r="R34" s="38">
        <v>31</v>
      </c>
      <c r="S34" s="13">
        <v>0.88571428571428568</v>
      </c>
      <c r="T34" s="38">
        <v>73</v>
      </c>
      <c r="U34" s="13">
        <v>0.73</v>
      </c>
      <c r="V34" s="13" t="s">
        <v>111</v>
      </c>
      <c r="W34" s="55" t="s">
        <v>823</v>
      </c>
      <c r="X34" s="57">
        <v>46011</v>
      </c>
      <c r="Y34" s="38" t="s">
        <v>1279</v>
      </c>
      <c r="Z34" s="36" t="s">
        <v>1280</v>
      </c>
    </row>
    <row r="35" spans="1:26" x14ac:dyDescent="0.25">
      <c r="A35" s="12">
        <v>34</v>
      </c>
      <c r="B35" s="40" t="s">
        <v>916</v>
      </c>
      <c r="C35" s="38" t="s">
        <v>1002</v>
      </c>
      <c r="D35" s="38" t="s">
        <v>1089</v>
      </c>
      <c r="E35" s="38" t="s">
        <v>1176</v>
      </c>
      <c r="F35" s="38"/>
      <c r="G35" s="38" t="s">
        <v>1263</v>
      </c>
      <c r="H35" s="12" t="s">
        <v>39</v>
      </c>
      <c r="I35" s="50" t="s">
        <v>110</v>
      </c>
      <c r="J35" s="38" t="s">
        <v>828</v>
      </c>
      <c r="K35" s="38" t="s">
        <v>90</v>
      </c>
      <c r="L35" s="38">
        <v>17</v>
      </c>
      <c r="M35" s="45">
        <v>0.68</v>
      </c>
      <c r="N35" s="38">
        <v>6</v>
      </c>
      <c r="O35" s="45">
        <v>0.6</v>
      </c>
      <c r="P35" s="38">
        <v>22</v>
      </c>
      <c r="Q35" s="13">
        <v>0.73333333333333328</v>
      </c>
      <c r="R35" s="38">
        <v>31</v>
      </c>
      <c r="S35" s="13">
        <v>0.88571428571428568</v>
      </c>
      <c r="T35" s="38">
        <v>76</v>
      </c>
      <c r="U35" s="13">
        <v>0.76</v>
      </c>
      <c r="V35" s="13" t="s">
        <v>111</v>
      </c>
      <c r="W35" s="55" t="s">
        <v>823</v>
      </c>
      <c r="X35" s="57">
        <v>46011</v>
      </c>
      <c r="Y35" s="38" t="s">
        <v>1279</v>
      </c>
      <c r="Z35" s="36" t="s">
        <v>1280</v>
      </c>
    </row>
    <row r="36" spans="1:26" x14ac:dyDescent="0.25">
      <c r="A36" s="12">
        <v>35</v>
      </c>
      <c r="B36" s="40" t="s">
        <v>917</v>
      </c>
      <c r="C36" s="38" t="s">
        <v>1003</v>
      </c>
      <c r="D36" s="38" t="s">
        <v>1090</v>
      </c>
      <c r="E36" s="38" t="s">
        <v>1177</v>
      </c>
      <c r="F36" s="38"/>
      <c r="G36" s="38" t="s">
        <v>1264</v>
      </c>
      <c r="H36" s="12" t="s">
        <v>39</v>
      </c>
      <c r="I36" s="50" t="s">
        <v>110</v>
      </c>
      <c r="J36" s="38" t="s">
        <v>828</v>
      </c>
      <c r="K36" s="38" t="s">
        <v>90</v>
      </c>
      <c r="L36" s="38">
        <v>20</v>
      </c>
      <c r="M36" s="45">
        <v>0.8</v>
      </c>
      <c r="N36" s="38">
        <v>9</v>
      </c>
      <c r="O36" s="45">
        <v>0.9</v>
      </c>
      <c r="P36" s="38">
        <v>28</v>
      </c>
      <c r="Q36" s="13">
        <v>0.93333333333333335</v>
      </c>
      <c r="R36" s="38">
        <v>28</v>
      </c>
      <c r="S36" s="13">
        <v>0.8</v>
      </c>
      <c r="T36" s="38">
        <v>85</v>
      </c>
      <c r="U36" s="13">
        <v>0.85</v>
      </c>
      <c r="V36" s="13" t="s">
        <v>111</v>
      </c>
      <c r="W36" s="55" t="s">
        <v>823</v>
      </c>
      <c r="X36" s="57">
        <v>46011</v>
      </c>
      <c r="Y36" s="38" t="s">
        <v>1279</v>
      </c>
      <c r="Z36" s="36" t="s">
        <v>845</v>
      </c>
    </row>
    <row r="37" spans="1:26" x14ac:dyDescent="0.25">
      <c r="A37" s="12">
        <v>36</v>
      </c>
      <c r="B37" s="40" t="s">
        <v>918</v>
      </c>
      <c r="C37" s="38" t="s">
        <v>1004</v>
      </c>
      <c r="D37" s="38" t="s">
        <v>1091</v>
      </c>
      <c r="E37" s="38" t="s">
        <v>1178</v>
      </c>
      <c r="F37" s="38"/>
      <c r="G37" s="38" t="s">
        <v>1265</v>
      </c>
      <c r="H37" s="12" t="s">
        <v>39</v>
      </c>
      <c r="I37" s="50" t="s">
        <v>110</v>
      </c>
      <c r="J37" s="38" t="s">
        <v>824</v>
      </c>
      <c r="K37" s="38" t="s">
        <v>90</v>
      </c>
      <c r="L37" s="38">
        <v>22</v>
      </c>
      <c r="M37" s="45">
        <v>0.88</v>
      </c>
      <c r="N37" s="38">
        <v>9</v>
      </c>
      <c r="O37" s="45">
        <v>0.9</v>
      </c>
      <c r="P37" s="38">
        <v>21</v>
      </c>
      <c r="Q37" s="13">
        <v>0.7</v>
      </c>
      <c r="R37" s="38">
        <v>28</v>
      </c>
      <c r="S37" s="13">
        <v>0.8</v>
      </c>
      <c r="T37" s="38">
        <v>80</v>
      </c>
      <c r="U37" s="13">
        <v>0.8</v>
      </c>
      <c r="V37" s="13" t="s">
        <v>111</v>
      </c>
      <c r="W37" s="55" t="s">
        <v>823</v>
      </c>
      <c r="X37" s="57">
        <v>46011</v>
      </c>
      <c r="Y37" s="38" t="s">
        <v>1279</v>
      </c>
      <c r="Z37" s="36" t="s">
        <v>845</v>
      </c>
    </row>
    <row r="38" spans="1:26" x14ac:dyDescent="0.25">
      <c r="A38" s="12">
        <v>37</v>
      </c>
      <c r="B38" s="40" t="s">
        <v>919</v>
      </c>
      <c r="C38" s="38" t="s">
        <v>1005</v>
      </c>
      <c r="D38" s="38" t="s">
        <v>1092</v>
      </c>
      <c r="E38" s="38" t="s">
        <v>1179</v>
      </c>
      <c r="F38" s="38">
        <v>935020096</v>
      </c>
      <c r="G38" s="38" t="s">
        <v>1266</v>
      </c>
      <c r="H38" s="12" t="s">
        <v>39</v>
      </c>
      <c r="I38" s="50" t="s">
        <v>110</v>
      </c>
      <c r="J38" s="38" t="s">
        <v>828</v>
      </c>
      <c r="K38" s="38" t="s">
        <v>90</v>
      </c>
      <c r="L38" s="38">
        <v>21</v>
      </c>
      <c r="M38" s="45">
        <v>0.84</v>
      </c>
      <c r="N38" s="38">
        <v>9</v>
      </c>
      <c r="O38" s="45">
        <v>0.9</v>
      </c>
      <c r="P38" s="38">
        <v>26</v>
      </c>
      <c r="Q38" s="13">
        <v>0.8666666666666667</v>
      </c>
      <c r="R38" s="38">
        <v>33</v>
      </c>
      <c r="S38" s="13">
        <v>0.94285714285714284</v>
      </c>
      <c r="T38" s="38">
        <v>89</v>
      </c>
      <c r="U38" s="13">
        <v>0.89</v>
      </c>
      <c r="V38" s="13" t="s">
        <v>111</v>
      </c>
      <c r="W38" s="55" t="s">
        <v>823</v>
      </c>
      <c r="X38" s="57">
        <v>46011</v>
      </c>
      <c r="Y38" s="38" t="s">
        <v>1279</v>
      </c>
      <c r="Z38" s="36" t="s">
        <v>845</v>
      </c>
    </row>
    <row r="39" spans="1:26" x14ac:dyDescent="0.25">
      <c r="A39" s="12">
        <v>38</v>
      </c>
      <c r="B39" s="40" t="s">
        <v>920</v>
      </c>
      <c r="C39" s="38" t="s">
        <v>1006</v>
      </c>
      <c r="D39" s="38" t="s">
        <v>1093</v>
      </c>
      <c r="E39" s="38" t="s">
        <v>1180</v>
      </c>
      <c r="F39" s="38"/>
      <c r="G39" s="38" t="s">
        <v>1267</v>
      </c>
      <c r="H39" s="12" t="s">
        <v>39</v>
      </c>
      <c r="I39" s="50" t="s">
        <v>110</v>
      </c>
      <c r="J39" s="38" t="s">
        <v>828</v>
      </c>
      <c r="K39" s="38" t="s">
        <v>90</v>
      </c>
      <c r="L39" s="38">
        <v>19</v>
      </c>
      <c r="M39" s="45">
        <v>0.76</v>
      </c>
      <c r="N39" s="38">
        <v>7</v>
      </c>
      <c r="O39" s="45">
        <v>0.7</v>
      </c>
      <c r="P39" s="38">
        <v>17</v>
      </c>
      <c r="Q39" s="13">
        <v>0.56666666666666665</v>
      </c>
      <c r="R39" s="38">
        <v>29</v>
      </c>
      <c r="S39" s="13">
        <v>0.82857142857142863</v>
      </c>
      <c r="T39" s="38">
        <v>72</v>
      </c>
      <c r="U39" s="13">
        <v>0.72</v>
      </c>
      <c r="V39" s="13" t="s">
        <v>111</v>
      </c>
      <c r="W39" s="55" t="s">
        <v>823</v>
      </c>
      <c r="X39" s="57">
        <v>46011</v>
      </c>
      <c r="Y39" s="38" t="s">
        <v>1279</v>
      </c>
      <c r="Z39" s="36" t="s">
        <v>1280</v>
      </c>
    </row>
    <row r="40" spans="1:26" x14ac:dyDescent="0.25">
      <c r="A40" s="12">
        <v>39</v>
      </c>
      <c r="B40" s="40" t="s">
        <v>921</v>
      </c>
      <c r="C40" s="38" t="s">
        <v>1007</v>
      </c>
      <c r="D40" s="38" t="s">
        <v>1094</v>
      </c>
      <c r="E40" s="38" t="s">
        <v>1181</v>
      </c>
      <c r="F40" s="38"/>
      <c r="G40" s="38" t="s">
        <v>1268</v>
      </c>
      <c r="H40" s="12" t="s">
        <v>39</v>
      </c>
      <c r="I40" s="50" t="s">
        <v>110</v>
      </c>
      <c r="J40" s="38" t="s">
        <v>828</v>
      </c>
      <c r="K40" s="38" t="s">
        <v>90</v>
      </c>
      <c r="L40" s="38">
        <v>17</v>
      </c>
      <c r="M40" s="45">
        <v>0.68</v>
      </c>
      <c r="N40" s="38">
        <v>9</v>
      </c>
      <c r="O40" s="45">
        <v>0.9</v>
      </c>
      <c r="P40" s="38">
        <v>25</v>
      </c>
      <c r="Q40" s="13">
        <v>0.83333333333333337</v>
      </c>
      <c r="R40" s="38">
        <v>31</v>
      </c>
      <c r="S40" s="13">
        <v>0.88571428571428568</v>
      </c>
      <c r="T40" s="38">
        <v>82</v>
      </c>
      <c r="U40" s="13">
        <v>0.82</v>
      </c>
      <c r="V40" s="13" t="s">
        <v>111</v>
      </c>
      <c r="W40" s="55" t="s">
        <v>823</v>
      </c>
      <c r="X40" s="57">
        <v>46011</v>
      </c>
      <c r="Y40" s="38" t="s">
        <v>1279</v>
      </c>
      <c r="Z40" s="36" t="s">
        <v>1280</v>
      </c>
    </row>
    <row r="41" spans="1:26" x14ac:dyDescent="0.25">
      <c r="A41" s="12">
        <v>40</v>
      </c>
      <c r="B41" s="40" t="s">
        <v>922</v>
      </c>
      <c r="C41" s="38" t="s">
        <v>1008</v>
      </c>
      <c r="D41" s="38" t="s">
        <v>1095</v>
      </c>
      <c r="E41" s="38" t="s">
        <v>1182</v>
      </c>
      <c r="F41" s="38"/>
      <c r="G41" s="38" t="s">
        <v>1269</v>
      </c>
      <c r="H41" s="12" t="s">
        <v>39</v>
      </c>
      <c r="I41" s="50" t="s">
        <v>110</v>
      </c>
      <c r="J41" s="38" t="s">
        <v>828</v>
      </c>
      <c r="K41" s="38" t="s">
        <v>90</v>
      </c>
      <c r="L41" s="38">
        <v>14</v>
      </c>
      <c r="M41" s="45">
        <v>0.56000000000000005</v>
      </c>
      <c r="N41" s="38">
        <v>7</v>
      </c>
      <c r="O41" s="45">
        <v>0.7</v>
      </c>
      <c r="P41" s="38">
        <v>8</v>
      </c>
      <c r="Q41" s="13">
        <v>0.26666666666666672</v>
      </c>
      <c r="R41" s="38">
        <v>12</v>
      </c>
      <c r="S41" s="13">
        <v>0.34285714285714292</v>
      </c>
      <c r="T41" s="38">
        <v>41</v>
      </c>
      <c r="U41" s="13">
        <v>0.41</v>
      </c>
      <c r="V41" s="13" t="s">
        <v>111</v>
      </c>
      <c r="W41" s="55" t="s">
        <v>823</v>
      </c>
      <c r="X41" s="57">
        <v>46011</v>
      </c>
      <c r="Y41" s="38" t="s">
        <v>1279</v>
      </c>
      <c r="Z41" s="36" t="s">
        <v>845</v>
      </c>
    </row>
    <row r="42" spans="1:26" x14ac:dyDescent="0.25">
      <c r="A42" s="12">
        <v>41</v>
      </c>
      <c r="B42" s="40" t="s">
        <v>923</v>
      </c>
      <c r="C42" s="38" t="s">
        <v>1009</v>
      </c>
      <c r="D42" s="38" t="s">
        <v>1096</v>
      </c>
      <c r="E42" s="38" t="s">
        <v>1183</v>
      </c>
      <c r="F42" s="38"/>
      <c r="G42" s="38" t="s">
        <v>1270</v>
      </c>
      <c r="H42" s="12" t="s">
        <v>39</v>
      </c>
      <c r="I42" s="50" t="s">
        <v>110</v>
      </c>
      <c r="J42" s="38" t="s">
        <v>828</v>
      </c>
      <c r="K42" s="38" t="s">
        <v>90</v>
      </c>
      <c r="L42" s="38">
        <v>21</v>
      </c>
      <c r="M42" s="45">
        <v>0.84</v>
      </c>
      <c r="N42" s="38">
        <v>7</v>
      </c>
      <c r="O42" s="45">
        <v>0.7</v>
      </c>
      <c r="P42" s="38">
        <v>25</v>
      </c>
      <c r="Q42" s="13">
        <v>0.83333333333333337</v>
      </c>
      <c r="R42" s="38">
        <v>32</v>
      </c>
      <c r="S42" s="13">
        <v>0.91428571428571426</v>
      </c>
      <c r="T42" s="38">
        <v>85</v>
      </c>
      <c r="U42" s="13">
        <v>0.85</v>
      </c>
      <c r="V42" s="13" t="s">
        <v>111</v>
      </c>
      <c r="W42" s="55" t="s">
        <v>823</v>
      </c>
      <c r="X42" s="57">
        <v>46011</v>
      </c>
      <c r="Y42" s="38" t="s">
        <v>1279</v>
      </c>
      <c r="Z42" s="36" t="s">
        <v>1280</v>
      </c>
    </row>
    <row r="43" spans="1:26" x14ac:dyDescent="0.25">
      <c r="A43" s="12">
        <v>42</v>
      </c>
      <c r="B43" s="40" t="s">
        <v>924</v>
      </c>
      <c r="C43" s="38" t="s">
        <v>1010</v>
      </c>
      <c r="D43" s="38" t="s">
        <v>1097</v>
      </c>
      <c r="E43" s="38" t="s">
        <v>1184</v>
      </c>
      <c r="F43" s="38"/>
      <c r="G43" s="38" t="s">
        <v>1271</v>
      </c>
      <c r="H43" s="12" t="s">
        <v>39</v>
      </c>
      <c r="I43" s="50" t="s">
        <v>110</v>
      </c>
      <c r="J43" s="38" t="s">
        <v>828</v>
      </c>
      <c r="K43" s="38" t="s">
        <v>90</v>
      </c>
      <c r="L43" s="38">
        <v>20</v>
      </c>
      <c r="M43" s="45">
        <v>0.8</v>
      </c>
      <c r="N43" s="38">
        <v>8</v>
      </c>
      <c r="O43" s="45">
        <v>0.8</v>
      </c>
      <c r="P43" s="38">
        <v>26</v>
      </c>
      <c r="Q43" s="13">
        <v>0.8666666666666667</v>
      </c>
      <c r="R43" s="38">
        <v>22</v>
      </c>
      <c r="S43" s="13">
        <v>0.62857142857142856</v>
      </c>
      <c r="T43" s="38">
        <v>76</v>
      </c>
      <c r="U43" s="13">
        <v>0.76</v>
      </c>
      <c r="V43" s="13" t="s">
        <v>111</v>
      </c>
      <c r="W43" s="55" t="s">
        <v>823</v>
      </c>
      <c r="X43" s="57">
        <v>46011</v>
      </c>
      <c r="Y43" s="38" t="s">
        <v>1279</v>
      </c>
      <c r="Z43" s="36" t="s">
        <v>1280</v>
      </c>
    </row>
    <row r="44" spans="1:26" x14ac:dyDescent="0.25">
      <c r="A44" s="12">
        <v>43</v>
      </c>
      <c r="B44" s="40" t="s">
        <v>847</v>
      </c>
      <c r="C44" s="38" t="s">
        <v>1011</v>
      </c>
      <c r="D44" s="38" t="s">
        <v>1098</v>
      </c>
      <c r="E44" s="38" t="s">
        <v>1185</v>
      </c>
      <c r="F44" s="38"/>
      <c r="G44" s="38" t="s">
        <v>1272</v>
      </c>
      <c r="H44" s="12" t="s">
        <v>39</v>
      </c>
      <c r="I44" s="50" t="s">
        <v>110</v>
      </c>
      <c r="J44" s="38" t="s">
        <v>828</v>
      </c>
      <c r="K44" s="38" t="s">
        <v>90</v>
      </c>
      <c r="L44" s="38">
        <v>15</v>
      </c>
      <c r="M44" s="45">
        <v>0.6</v>
      </c>
      <c r="N44" s="38">
        <v>6</v>
      </c>
      <c r="O44" s="45">
        <v>0.6</v>
      </c>
      <c r="P44" s="38">
        <v>16</v>
      </c>
      <c r="Q44" s="13">
        <v>0.53333333333333333</v>
      </c>
      <c r="R44" s="38">
        <v>29</v>
      </c>
      <c r="S44" s="13">
        <v>0.82857142857142863</v>
      </c>
      <c r="T44" s="38">
        <v>66</v>
      </c>
      <c r="U44" s="13">
        <v>0.66</v>
      </c>
      <c r="V44" s="13" t="s">
        <v>111</v>
      </c>
      <c r="W44" s="55" t="s">
        <v>823</v>
      </c>
      <c r="X44" s="57">
        <v>46011</v>
      </c>
      <c r="Y44" s="38" t="s">
        <v>1279</v>
      </c>
      <c r="Z44" s="36" t="s">
        <v>1280</v>
      </c>
    </row>
    <row r="45" spans="1:26" x14ac:dyDescent="0.25">
      <c r="A45" s="12">
        <v>44</v>
      </c>
      <c r="B45" s="40" t="s">
        <v>925</v>
      </c>
      <c r="C45" s="38" t="s">
        <v>1012</v>
      </c>
      <c r="D45" s="38" t="s">
        <v>1099</v>
      </c>
      <c r="E45" s="38" t="s">
        <v>1186</v>
      </c>
      <c r="F45" s="38"/>
      <c r="G45" s="38" t="s">
        <v>1273</v>
      </c>
      <c r="H45" s="12" t="s">
        <v>39</v>
      </c>
      <c r="I45" s="50" t="s">
        <v>110</v>
      </c>
      <c r="J45" s="38" t="s">
        <v>828</v>
      </c>
      <c r="K45" s="38" t="s">
        <v>90</v>
      </c>
      <c r="L45" s="38">
        <v>13</v>
      </c>
      <c r="M45" s="45">
        <v>0.52</v>
      </c>
      <c r="N45" s="38">
        <v>4</v>
      </c>
      <c r="O45" s="45">
        <v>0.4</v>
      </c>
      <c r="P45" s="38">
        <v>21</v>
      </c>
      <c r="Q45" s="13">
        <v>0.7</v>
      </c>
      <c r="R45" s="38">
        <v>29</v>
      </c>
      <c r="S45" s="13">
        <v>0.82857142857142863</v>
      </c>
      <c r="T45" s="38">
        <v>67</v>
      </c>
      <c r="U45" s="13">
        <v>0.67</v>
      </c>
      <c r="V45" s="13" t="s">
        <v>111</v>
      </c>
      <c r="W45" s="55" t="s">
        <v>823</v>
      </c>
      <c r="X45" s="57">
        <v>46011</v>
      </c>
      <c r="Y45" s="38" t="s">
        <v>1279</v>
      </c>
      <c r="Z45" s="36" t="s">
        <v>1280</v>
      </c>
    </row>
    <row r="46" spans="1:26" x14ac:dyDescent="0.25">
      <c r="A46" s="12">
        <v>45</v>
      </c>
      <c r="B46" s="40" t="s">
        <v>926</v>
      </c>
      <c r="C46" s="38" t="s">
        <v>1013</v>
      </c>
      <c r="D46" s="38" t="s">
        <v>1100</v>
      </c>
      <c r="E46" s="38" t="s">
        <v>1187</v>
      </c>
      <c r="F46" s="38"/>
      <c r="G46" s="38" t="s">
        <v>1274</v>
      </c>
      <c r="H46" s="12" t="s">
        <v>39</v>
      </c>
      <c r="I46" s="50" t="s">
        <v>110</v>
      </c>
      <c r="J46" s="38" t="s">
        <v>828</v>
      </c>
      <c r="K46" s="38" t="s">
        <v>90</v>
      </c>
      <c r="L46" s="38">
        <v>12</v>
      </c>
      <c r="M46" s="45">
        <v>0.48</v>
      </c>
      <c r="N46" s="38">
        <v>3</v>
      </c>
      <c r="O46" s="45">
        <v>0.3</v>
      </c>
      <c r="P46" s="38">
        <v>23</v>
      </c>
      <c r="Q46" s="13">
        <v>0.76666666666666672</v>
      </c>
      <c r="R46" s="38">
        <v>29</v>
      </c>
      <c r="S46" s="13">
        <v>0.82857142857142863</v>
      </c>
      <c r="T46" s="38">
        <v>67</v>
      </c>
      <c r="U46" s="13">
        <v>0.67</v>
      </c>
      <c r="V46" s="13" t="s">
        <v>111</v>
      </c>
      <c r="W46" s="55" t="s">
        <v>823</v>
      </c>
      <c r="X46" s="57">
        <v>46011</v>
      </c>
      <c r="Y46" s="38" t="s">
        <v>1279</v>
      </c>
      <c r="Z46" s="36" t="s">
        <v>845</v>
      </c>
    </row>
    <row r="47" spans="1:26" x14ac:dyDescent="0.25">
      <c r="A47" s="12">
        <v>46</v>
      </c>
      <c r="B47" s="40" t="s">
        <v>927</v>
      </c>
      <c r="C47" s="38" t="s">
        <v>1014</v>
      </c>
      <c r="D47" s="38" t="s">
        <v>1101</v>
      </c>
      <c r="E47" s="38" t="s">
        <v>1188</v>
      </c>
      <c r="F47" s="38"/>
      <c r="G47" s="38" t="s">
        <v>1275</v>
      </c>
      <c r="H47" s="12" t="s">
        <v>39</v>
      </c>
      <c r="I47" s="50" t="s">
        <v>110</v>
      </c>
      <c r="J47" s="38" t="s">
        <v>824</v>
      </c>
      <c r="K47" s="38" t="s">
        <v>90</v>
      </c>
      <c r="L47" s="38">
        <v>11</v>
      </c>
      <c r="M47" s="45">
        <v>0.44</v>
      </c>
      <c r="N47" s="38">
        <v>7</v>
      </c>
      <c r="O47" s="45">
        <v>0.7</v>
      </c>
      <c r="P47" s="38">
        <v>9</v>
      </c>
      <c r="Q47" s="13">
        <v>0.3</v>
      </c>
      <c r="R47" s="38">
        <v>12</v>
      </c>
      <c r="S47" s="13">
        <v>0.34285714285714292</v>
      </c>
      <c r="T47" s="38">
        <v>39</v>
      </c>
      <c r="U47" s="13">
        <v>0.39</v>
      </c>
      <c r="V47" s="13" t="s">
        <v>111</v>
      </c>
      <c r="W47" s="55" t="s">
        <v>823</v>
      </c>
      <c r="X47" s="57">
        <v>46011</v>
      </c>
      <c r="Y47" s="38" t="s">
        <v>1279</v>
      </c>
      <c r="Z47" s="36" t="s">
        <v>1280</v>
      </c>
    </row>
    <row r="48" spans="1:26" x14ac:dyDescent="0.25">
      <c r="A48" s="12">
        <v>47</v>
      </c>
      <c r="B48" s="40" t="s">
        <v>928</v>
      </c>
      <c r="C48" s="38" t="s">
        <v>1015</v>
      </c>
      <c r="D48" s="38" t="s">
        <v>1102</v>
      </c>
      <c r="E48" s="38" t="s">
        <v>1189</v>
      </c>
      <c r="F48" s="38"/>
      <c r="G48" s="38" t="s">
        <v>1276</v>
      </c>
      <c r="H48" s="12" t="s">
        <v>39</v>
      </c>
      <c r="I48" s="50" t="s">
        <v>110</v>
      </c>
      <c r="J48" s="38" t="s">
        <v>828</v>
      </c>
      <c r="K48" s="38" t="s">
        <v>90</v>
      </c>
      <c r="L48" s="38">
        <v>20</v>
      </c>
      <c r="M48" s="45">
        <v>0.8</v>
      </c>
      <c r="N48" s="38">
        <v>9</v>
      </c>
      <c r="O48" s="45">
        <v>0.9</v>
      </c>
      <c r="P48" s="38">
        <v>26</v>
      </c>
      <c r="Q48" s="13">
        <v>0.8666666666666667</v>
      </c>
      <c r="R48" s="38">
        <v>27</v>
      </c>
      <c r="S48" s="13">
        <v>0.77142857142857146</v>
      </c>
      <c r="T48" s="38">
        <v>82</v>
      </c>
      <c r="U48" s="13">
        <v>0.82</v>
      </c>
      <c r="V48" s="13" t="s">
        <v>111</v>
      </c>
      <c r="W48" s="55" t="s">
        <v>823</v>
      </c>
      <c r="X48" s="57">
        <v>46011</v>
      </c>
      <c r="Y48" s="38" t="s">
        <v>1279</v>
      </c>
      <c r="Z48" s="36" t="s">
        <v>1280</v>
      </c>
    </row>
    <row r="49" spans="1:26" x14ac:dyDescent="0.25">
      <c r="A49" s="42">
        <v>48</v>
      </c>
      <c r="B49" s="70" t="s">
        <v>929</v>
      </c>
      <c r="C49" s="52" t="s">
        <v>1016</v>
      </c>
      <c r="D49" s="52" t="s">
        <v>1103</v>
      </c>
      <c r="E49" s="52" t="s">
        <v>1190</v>
      </c>
      <c r="F49" s="52">
        <v>973114702</v>
      </c>
      <c r="G49" s="52" t="s">
        <v>1277</v>
      </c>
      <c r="H49" s="42" t="s">
        <v>39</v>
      </c>
      <c r="I49" s="53" t="s">
        <v>110</v>
      </c>
      <c r="J49" s="52" t="s">
        <v>828</v>
      </c>
      <c r="K49" s="52" t="s">
        <v>90</v>
      </c>
      <c r="L49" s="52">
        <v>8</v>
      </c>
      <c r="M49" s="45">
        <v>0.32</v>
      </c>
      <c r="N49" s="52">
        <v>5</v>
      </c>
      <c r="O49" s="45">
        <v>0.5</v>
      </c>
      <c r="P49" s="52">
        <v>13</v>
      </c>
      <c r="Q49" s="45">
        <v>0.43333333333333329</v>
      </c>
      <c r="R49" s="52">
        <v>15</v>
      </c>
      <c r="S49" s="45">
        <v>0.42857142857142849</v>
      </c>
      <c r="T49" s="52">
        <v>41</v>
      </c>
      <c r="U49" s="45">
        <v>0.41</v>
      </c>
      <c r="V49" s="45" t="s">
        <v>111</v>
      </c>
      <c r="W49" s="75" t="s">
        <v>823</v>
      </c>
      <c r="X49" s="76">
        <v>46011</v>
      </c>
      <c r="Y49" s="52" t="s">
        <v>1279</v>
      </c>
      <c r="Z49" s="71" t="s">
        <v>1280</v>
      </c>
    </row>
    <row r="50" spans="1:26" x14ac:dyDescent="0.25">
      <c r="A50" s="12">
        <v>49</v>
      </c>
      <c r="B50" s="4" t="s">
        <v>1285</v>
      </c>
      <c r="C50" s="12" t="s">
        <v>1284</v>
      </c>
      <c r="D50" s="12" t="s">
        <v>1298</v>
      </c>
      <c r="E50" s="12" t="s">
        <v>1306</v>
      </c>
      <c r="F50" s="12"/>
      <c r="G50" s="12" t="s">
        <v>1302</v>
      </c>
      <c r="H50" s="12" t="s">
        <v>39</v>
      </c>
      <c r="I50" s="21" t="s">
        <v>110</v>
      </c>
      <c r="J50" s="12" t="s">
        <v>828</v>
      </c>
      <c r="K50" s="12" t="s">
        <v>108</v>
      </c>
      <c r="L50" s="12" t="s">
        <v>1307</v>
      </c>
      <c r="M50" s="13" t="s">
        <v>1307</v>
      </c>
      <c r="N50" s="12" t="s">
        <v>1307</v>
      </c>
      <c r="O50" s="13" t="s">
        <v>1307</v>
      </c>
      <c r="P50" s="12" t="s">
        <v>1307</v>
      </c>
      <c r="Q50" s="13" t="s">
        <v>1307</v>
      </c>
      <c r="R50" s="12" t="s">
        <v>1307</v>
      </c>
      <c r="S50" s="13" t="s">
        <v>1307</v>
      </c>
      <c r="T50" s="12" t="s">
        <v>1307</v>
      </c>
      <c r="U50" s="13" t="s">
        <v>1307</v>
      </c>
      <c r="V50" s="13" t="s">
        <v>1307</v>
      </c>
      <c r="W50" s="13" t="s">
        <v>1307</v>
      </c>
      <c r="X50" s="77" t="s">
        <v>1307</v>
      </c>
      <c r="Y50" s="12" t="s">
        <v>1307</v>
      </c>
      <c r="Z50" s="13" t="s">
        <v>1307</v>
      </c>
    </row>
    <row r="52" spans="1:26" s="54" customFormat="1" ht="47.25" customHeight="1" x14ac:dyDescent="0.25">
      <c r="A52" s="54" t="s">
        <v>0</v>
      </c>
      <c r="B52" s="54" t="s">
        <v>92</v>
      </c>
      <c r="C52" s="54" t="s">
        <v>91</v>
      </c>
      <c r="D52" s="54" t="s">
        <v>3</v>
      </c>
      <c r="E52" s="54" t="s">
        <v>95</v>
      </c>
      <c r="F52" s="54" t="s">
        <v>93</v>
      </c>
      <c r="G52" s="54" t="s">
        <v>94</v>
      </c>
      <c r="H52" s="54" t="s">
        <v>76</v>
      </c>
      <c r="I52" s="54" t="s">
        <v>4</v>
      </c>
      <c r="J52" s="54" t="s">
        <v>5</v>
      </c>
      <c r="K52" s="54" t="s">
        <v>6</v>
      </c>
      <c r="L52" s="54" t="s">
        <v>78</v>
      </c>
      <c r="M52" s="54" t="s">
        <v>8</v>
      </c>
      <c r="N52" s="54" t="s">
        <v>79</v>
      </c>
      <c r="O52" s="54" t="s">
        <v>8</v>
      </c>
      <c r="P52" s="54" t="s">
        <v>80</v>
      </c>
      <c r="Q52" s="54" t="s">
        <v>8</v>
      </c>
      <c r="R52" s="54" t="s">
        <v>81</v>
      </c>
      <c r="S52" s="54" t="s">
        <v>8</v>
      </c>
      <c r="T52" s="54" t="s">
        <v>82</v>
      </c>
      <c r="U52" s="54" t="s">
        <v>8</v>
      </c>
      <c r="V52" s="54" t="s">
        <v>83</v>
      </c>
      <c r="W52" s="54" t="s">
        <v>84</v>
      </c>
      <c r="X52" s="54" t="s">
        <v>85</v>
      </c>
      <c r="Y52" s="54" t="s">
        <v>86</v>
      </c>
      <c r="Z52" s="54" t="s">
        <v>87</v>
      </c>
    </row>
    <row r="53" spans="1:26" x14ac:dyDescent="0.25">
      <c r="A53" s="22">
        <v>1</v>
      </c>
      <c r="B53" s="21" t="s">
        <v>846</v>
      </c>
      <c r="C53" s="26" t="s">
        <v>930</v>
      </c>
      <c r="D53" s="4" t="s">
        <v>1017</v>
      </c>
      <c r="E53" s="24" t="s">
        <v>1104</v>
      </c>
      <c r="F53" s="4"/>
      <c r="G53" s="4" t="s">
        <v>1191</v>
      </c>
      <c r="H53" s="22" t="s">
        <v>41</v>
      </c>
      <c r="I53" s="4" t="s">
        <v>825</v>
      </c>
      <c r="J53" s="24" t="s">
        <v>824</v>
      </c>
      <c r="K53" s="4" t="s">
        <v>90</v>
      </c>
      <c r="L53" s="4">
        <v>15</v>
      </c>
      <c r="M53" s="34">
        <v>0.42857142857142849</v>
      </c>
      <c r="N53" s="4">
        <v>5</v>
      </c>
      <c r="O53" s="33">
        <v>0.5</v>
      </c>
      <c r="P53" s="4">
        <v>12</v>
      </c>
      <c r="Q53" s="33">
        <v>0.4</v>
      </c>
      <c r="R53" s="4">
        <v>15</v>
      </c>
      <c r="S53" s="33">
        <v>0.6</v>
      </c>
      <c r="T53" s="4">
        <v>47</v>
      </c>
      <c r="U53" s="33">
        <v>0.47</v>
      </c>
      <c r="V53" s="13" t="s">
        <v>111</v>
      </c>
      <c r="W53" s="13" t="s">
        <v>823</v>
      </c>
      <c r="X53" s="14">
        <v>46011</v>
      </c>
      <c r="Y53" s="13" t="s">
        <v>1279</v>
      </c>
      <c r="Z53" s="36" t="s">
        <v>1280</v>
      </c>
    </row>
    <row r="54" spans="1:26" x14ac:dyDescent="0.25">
      <c r="A54" s="22">
        <v>2</v>
      </c>
      <c r="B54" s="21" t="s">
        <v>847</v>
      </c>
      <c r="C54" s="26" t="s">
        <v>931</v>
      </c>
      <c r="D54" s="4" t="s">
        <v>1018</v>
      </c>
      <c r="E54" s="24" t="s">
        <v>1105</v>
      </c>
      <c r="F54" s="4"/>
      <c r="G54" s="4" t="s">
        <v>1192</v>
      </c>
      <c r="H54" s="22" t="s">
        <v>41</v>
      </c>
      <c r="I54" s="4" t="s">
        <v>825</v>
      </c>
      <c r="J54" s="24" t="s">
        <v>828</v>
      </c>
      <c r="K54" s="4" t="s">
        <v>90</v>
      </c>
      <c r="L54" s="4">
        <v>22</v>
      </c>
      <c r="M54" s="34">
        <v>0.62857142857142856</v>
      </c>
      <c r="N54" s="4">
        <v>9</v>
      </c>
      <c r="O54" s="33">
        <v>0.9</v>
      </c>
      <c r="P54" s="4">
        <v>25</v>
      </c>
      <c r="Q54" s="33">
        <v>0.83333333333333337</v>
      </c>
      <c r="R54" s="4">
        <v>22</v>
      </c>
      <c r="S54" s="33">
        <v>0.88</v>
      </c>
      <c r="T54" s="4">
        <v>78</v>
      </c>
      <c r="U54" s="33">
        <v>0.78</v>
      </c>
      <c r="V54" s="13" t="s">
        <v>111</v>
      </c>
      <c r="W54" s="13" t="s">
        <v>823</v>
      </c>
      <c r="X54" s="14">
        <v>46011</v>
      </c>
      <c r="Y54" s="11" t="s">
        <v>1279</v>
      </c>
      <c r="Z54" s="36" t="s">
        <v>1280</v>
      </c>
    </row>
    <row r="55" spans="1:26" x14ac:dyDescent="0.25">
      <c r="A55" s="22">
        <v>3</v>
      </c>
      <c r="B55" s="21" t="s">
        <v>848</v>
      </c>
      <c r="C55" s="26" t="s">
        <v>932</v>
      </c>
      <c r="D55" s="4" t="s">
        <v>1019</v>
      </c>
      <c r="E55" s="24" t="s">
        <v>1106</v>
      </c>
      <c r="F55" s="4"/>
      <c r="G55" s="4" t="s">
        <v>1193</v>
      </c>
      <c r="H55" s="22" t="s">
        <v>41</v>
      </c>
      <c r="I55" s="4" t="s">
        <v>825</v>
      </c>
      <c r="J55" s="24" t="s">
        <v>824</v>
      </c>
      <c r="K55" s="4" t="s">
        <v>90</v>
      </c>
      <c r="L55" s="4">
        <v>18</v>
      </c>
      <c r="M55" s="34">
        <v>0.51428571428571423</v>
      </c>
      <c r="N55" s="4">
        <v>5</v>
      </c>
      <c r="O55" s="33">
        <v>0.5</v>
      </c>
      <c r="P55" s="4">
        <v>8</v>
      </c>
      <c r="Q55" s="33">
        <v>0.26666666666666672</v>
      </c>
      <c r="R55" s="4">
        <v>5</v>
      </c>
      <c r="S55" s="33">
        <v>0.2</v>
      </c>
      <c r="T55" s="4">
        <v>36</v>
      </c>
      <c r="U55" s="33">
        <v>0.36</v>
      </c>
      <c r="V55" s="13" t="s">
        <v>111</v>
      </c>
      <c r="W55" s="13" t="s">
        <v>823</v>
      </c>
      <c r="X55" s="14">
        <v>46011</v>
      </c>
      <c r="Y55" s="11" t="s">
        <v>1279</v>
      </c>
      <c r="Z55" s="36" t="s">
        <v>1280</v>
      </c>
    </row>
    <row r="56" spans="1:26" x14ac:dyDescent="0.25">
      <c r="A56" s="22">
        <v>4</v>
      </c>
      <c r="B56" s="21" t="s">
        <v>849</v>
      </c>
      <c r="C56" s="26" t="s">
        <v>933</v>
      </c>
      <c r="D56" s="4" t="s">
        <v>1020</v>
      </c>
      <c r="E56" s="24" t="s">
        <v>1107</v>
      </c>
      <c r="F56" s="4"/>
      <c r="G56" s="4" t="s">
        <v>1194</v>
      </c>
      <c r="H56" s="22" t="s">
        <v>41</v>
      </c>
      <c r="I56" s="4" t="s">
        <v>825</v>
      </c>
      <c r="J56" s="24" t="s">
        <v>828</v>
      </c>
      <c r="K56" s="4" t="s">
        <v>90</v>
      </c>
      <c r="L56" s="4">
        <v>26</v>
      </c>
      <c r="M56" s="34">
        <v>0.74285714285714288</v>
      </c>
      <c r="N56" s="4">
        <v>7</v>
      </c>
      <c r="O56" s="33">
        <v>0.7</v>
      </c>
      <c r="P56" s="4">
        <v>16</v>
      </c>
      <c r="Q56" s="33">
        <v>0.53333333333333333</v>
      </c>
      <c r="R56" s="4">
        <v>22</v>
      </c>
      <c r="S56" s="33">
        <v>0.88</v>
      </c>
      <c r="T56" s="4">
        <v>71</v>
      </c>
      <c r="U56" s="33">
        <v>0.71</v>
      </c>
      <c r="V56" s="13" t="s">
        <v>111</v>
      </c>
      <c r="W56" s="13" t="s">
        <v>823</v>
      </c>
      <c r="X56" s="14">
        <v>46011</v>
      </c>
      <c r="Y56" s="11" t="s">
        <v>1279</v>
      </c>
      <c r="Z56" s="36" t="s">
        <v>1280</v>
      </c>
    </row>
    <row r="57" spans="1:26" x14ac:dyDescent="0.25">
      <c r="A57" s="22">
        <v>5</v>
      </c>
      <c r="B57" s="17" t="s">
        <v>850</v>
      </c>
      <c r="C57" s="27" t="s">
        <v>934</v>
      </c>
      <c r="D57" s="4" t="s">
        <v>1021</v>
      </c>
      <c r="E57" s="24" t="s">
        <v>1108</v>
      </c>
      <c r="F57" s="4"/>
      <c r="G57" s="4" t="s">
        <v>1195</v>
      </c>
      <c r="H57" s="22" t="s">
        <v>41</v>
      </c>
      <c r="I57" s="4" t="s">
        <v>825</v>
      </c>
      <c r="J57" s="24" t="s">
        <v>828</v>
      </c>
      <c r="K57" s="4" t="s">
        <v>90</v>
      </c>
      <c r="L57" s="4">
        <v>23</v>
      </c>
      <c r="M57" s="34">
        <v>0.65714285714285714</v>
      </c>
      <c r="N57" s="4">
        <v>9</v>
      </c>
      <c r="O57" s="33">
        <v>0.9</v>
      </c>
      <c r="P57" s="4">
        <v>22</v>
      </c>
      <c r="Q57" s="33">
        <v>0.73333333333333328</v>
      </c>
      <c r="R57" s="4">
        <v>18</v>
      </c>
      <c r="S57" s="33">
        <v>0.72</v>
      </c>
      <c r="T57" s="4">
        <v>72</v>
      </c>
      <c r="U57" s="33">
        <v>0.72</v>
      </c>
      <c r="V57" s="13" t="s">
        <v>111</v>
      </c>
      <c r="W57" s="13" t="s">
        <v>823</v>
      </c>
      <c r="X57" s="14">
        <v>46011</v>
      </c>
      <c r="Y57" s="11" t="s">
        <v>1279</v>
      </c>
      <c r="Z57" s="36" t="s">
        <v>1280</v>
      </c>
    </row>
    <row r="58" spans="1:26" x14ac:dyDescent="0.25">
      <c r="A58" s="22">
        <v>6</v>
      </c>
      <c r="B58" s="21" t="s">
        <v>851</v>
      </c>
      <c r="C58" s="26" t="s">
        <v>935</v>
      </c>
      <c r="D58" s="4" t="s">
        <v>1022</v>
      </c>
      <c r="E58" s="24" t="s">
        <v>1109</v>
      </c>
      <c r="F58" s="4"/>
      <c r="G58" s="4" t="s">
        <v>1196</v>
      </c>
      <c r="H58" s="22" t="s">
        <v>41</v>
      </c>
      <c r="I58" s="4" t="s">
        <v>825</v>
      </c>
      <c r="J58" s="24" t="s">
        <v>828</v>
      </c>
      <c r="K58" s="4" t="s">
        <v>90</v>
      </c>
      <c r="L58" s="4">
        <v>24</v>
      </c>
      <c r="M58" s="34">
        <v>0.68571428571428572</v>
      </c>
      <c r="N58" s="4">
        <v>9</v>
      </c>
      <c r="O58" s="33">
        <v>0.9</v>
      </c>
      <c r="P58" s="4">
        <v>24</v>
      </c>
      <c r="Q58" s="33">
        <v>0.8</v>
      </c>
      <c r="R58" s="4">
        <v>17</v>
      </c>
      <c r="S58" s="33">
        <v>0.68</v>
      </c>
      <c r="T58" s="4">
        <v>74</v>
      </c>
      <c r="U58" s="33">
        <v>0.74</v>
      </c>
      <c r="V58" s="13" t="s">
        <v>111</v>
      </c>
      <c r="W58" s="13" t="s">
        <v>823</v>
      </c>
      <c r="X58" s="14">
        <v>46011</v>
      </c>
      <c r="Y58" s="11" t="s">
        <v>1279</v>
      </c>
      <c r="Z58" s="36" t="s">
        <v>845</v>
      </c>
    </row>
    <row r="59" spans="1:26" x14ac:dyDescent="0.25">
      <c r="A59" s="22">
        <v>7</v>
      </c>
      <c r="B59" s="21" t="s">
        <v>852</v>
      </c>
      <c r="C59" s="26" t="s">
        <v>936</v>
      </c>
      <c r="D59" s="4" t="s">
        <v>1023</v>
      </c>
      <c r="E59" s="24" t="s">
        <v>1110</v>
      </c>
      <c r="F59" s="4"/>
      <c r="G59" s="4" t="s">
        <v>1197</v>
      </c>
      <c r="H59" s="22" t="s">
        <v>41</v>
      </c>
      <c r="I59" s="4" t="s">
        <v>825</v>
      </c>
      <c r="J59" s="24" t="s">
        <v>828</v>
      </c>
      <c r="K59" s="4" t="s">
        <v>90</v>
      </c>
      <c r="L59" s="4">
        <v>27</v>
      </c>
      <c r="M59" s="34">
        <v>0.77142857142857146</v>
      </c>
      <c r="N59" s="4">
        <v>9</v>
      </c>
      <c r="O59" s="33">
        <v>0.9</v>
      </c>
      <c r="P59" s="4">
        <v>21</v>
      </c>
      <c r="Q59" s="33">
        <v>0.7</v>
      </c>
      <c r="R59" s="4">
        <v>21</v>
      </c>
      <c r="S59" s="33">
        <v>0.84</v>
      </c>
      <c r="T59" s="4">
        <v>78</v>
      </c>
      <c r="U59" s="33">
        <v>0.78</v>
      </c>
      <c r="V59" s="13" t="s">
        <v>111</v>
      </c>
      <c r="W59" s="13" t="s">
        <v>823</v>
      </c>
      <c r="X59" s="14">
        <v>46011</v>
      </c>
      <c r="Y59" s="11" t="s">
        <v>1279</v>
      </c>
      <c r="Z59" s="36" t="s">
        <v>845</v>
      </c>
    </row>
    <row r="60" spans="1:26" x14ac:dyDescent="0.25">
      <c r="A60" s="22">
        <v>8</v>
      </c>
      <c r="B60" s="21" t="s">
        <v>853</v>
      </c>
      <c r="C60" s="26" t="s">
        <v>937</v>
      </c>
      <c r="D60" s="4" t="s">
        <v>1024</v>
      </c>
      <c r="E60" s="24" t="s">
        <v>1111</v>
      </c>
      <c r="F60" s="4"/>
      <c r="G60" s="4" t="s">
        <v>1198</v>
      </c>
      <c r="H60" s="22" t="s">
        <v>41</v>
      </c>
      <c r="I60" s="4" t="s">
        <v>825</v>
      </c>
      <c r="J60" s="24" t="s">
        <v>828</v>
      </c>
      <c r="K60" s="4" t="s">
        <v>90</v>
      </c>
      <c r="L60" s="4">
        <v>25</v>
      </c>
      <c r="M60" s="34">
        <v>0.7142857142857143</v>
      </c>
      <c r="N60" s="4">
        <v>8</v>
      </c>
      <c r="O60" s="33">
        <v>0.8</v>
      </c>
      <c r="P60" s="4">
        <v>27</v>
      </c>
      <c r="Q60" s="33">
        <v>0.9</v>
      </c>
      <c r="R60" s="4">
        <v>20</v>
      </c>
      <c r="S60" s="33">
        <v>0.8</v>
      </c>
      <c r="T60" s="4">
        <v>80</v>
      </c>
      <c r="U60" s="33">
        <v>0.8</v>
      </c>
      <c r="V60" s="13" t="s">
        <v>111</v>
      </c>
      <c r="W60" s="13" t="s">
        <v>823</v>
      </c>
      <c r="X60" s="14">
        <v>46011</v>
      </c>
      <c r="Y60" s="11" t="s">
        <v>1279</v>
      </c>
      <c r="Z60" s="36" t="s">
        <v>845</v>
      </c>
    </row>
    <row r="61" spans="1:26" x14ac:dyDescent="0.25">
      <c r="A61" s="22">
        <v>9</v>
      </c>
      <c r="B61" s="21" t="s">
        <v>854</v>
      </c>
      <c r="C61" s="26" t="s">
        <v>938</v>
      </c>
      <c r="D61" s="4" t="s">
        <v>1025</v>
      </c>
      <c r="E61" s="24" t="s">
        <v>1112</v>
      </c>
      <c r="F61" s="4"/>
      <c r="G61" s="4" t="s">
        <v>1199</v>
      </c>
      <c r="H61" s="22" t="s">
        <v>41</v>
      </c>
      <c r="I61" s="4" t="s">
        <v>825</v>
      </c>
      <c r="J61" s="24" t="s">
        <v>828</v>
      </c>
      <c r="K61" s="4" t="s">
        <v>90</v>
      </c>
      <c r="L61" s="4">
        <v>23</v>
      </c>
      <c r="M61" s="34">
        <v>0.65714285714285714</v>
      </c>
      <c r="N61" s="4">
        <v>7</v>
      </c>
      <c r="O61" s="33">
        <v>0.7</v>
      </c>
      <c r="P61" s="4">
        <v>20</v>
      </c>
      <c r="Q61" s="33">
        <v>0.66666666666666663</v>
      </c>
      <c r="R61" s="4">
        <v>15</v>
      </c>
      <c r="S61" s="33">
        <v>0.6</v>
      </c>
      <c r="T61" s="4">
        <v>65</v>
      </c>
      <c r="U61" s="33">
        <v>0.65</v>
      </c>
      <c r="V61" s="13" t="s">
        <v>111</v>
      </c>
      <c r="W61" s="13" t="s">
        <v>823</v>
      </c>
      <c r="X61" s="14">
        <v>46011</v>
      </c>
      <c r="Y61" s="11" t="s">
        <v>1279</v>
      </c>
      <c r="Z61" s="36" t="s">
        <v>1280</v>
      </c>
    </row>
    <row r="62" spans="1:26" x14ac:dyDescent="0.25">
      <c r="A62" s="22">
        <v>10</v>
      </c>
      <c r="B62" s="21" t="s">
        <v>855</v>
      </c>
      <c r="C62" s="26" t="s">
        <v>939</v>
      </c>
      <c r="D62" s="4" t="s">
        <v>1026</v>
      </c>
      <c r="E62" s="24" t="s">
        <v>1113</v>
      </c>
      <c r="F62" s="4"/>
      <c r="G62" s="4" t="s">
        <v>1200</v>
      </c>
      <c r="H62" s="22" t="s">
        <v>41</v>
      </c>
      <c r="I62" s="4" t="s">
        <v>825</v>
      </c>
      <c r="J62" s="24" t="s">
        <v>828</v>
      </c>
      <c r="K62" s="4" t="s">
        <v>90</v>
      </c>
      <c r="L62" s="4">
        <v>13</v>
      </c>
      <c r="M62" s="34">
        <v>0.37142857142857139</v>
      </c>
      <c r="N62" s="4">
        <v>6</v>
      </c>
      <c r="O62" s="33">
        <v>0.6</v>
      </c>
      <c r="P62" s="4">
        <v>12</v>
      </c>
      <c r="Q62" s="33">
        <v>0.4</v>
      </c>
      <c r="R62" s="4">
        <v>7.0000000000000009</v>
      </c>
      <c r="S62" s="33">
        <v>0.28000000000000003</v>
      </c>
      <c r="T62" s="4">
        <v>38</v>
      </c>
      <c r="U62" s="33">
        <v>0.38</v>
      </c>
      <c r="V62" s="13" t="s">
        <v>111</v>
      </c>
      <c r="W62" s="13" t="s">
        <v>823</v>
      </c>
      <c r="X62" s="14">
        <v>46011</v>
      </c>
      <c r="Y62" s="11" t="s">
        <v>1279</v>
      </c>
      <c r="Z62" s="36" t="s">
        <v>845</v>
      </c>
    </row>
    <row r="63" spans="1:26" x14ac:dyDescent="0.25">
      <c r="A63" s="22">
        <v>11</v>
      </c>
      <c r="B63" s="21" t="s">
        <v>856</v>
      </c>
      <c r="C63" s="26" t="s">
        <v>940</v>
      </c>
      <c r="D63" s="4" t="s">
        <v>1027</v>
      </c>
      <c r="E63" s="24" t="s">
        <v>1114</v>
      </c>
      <c r="F63" s="4"/>
      <c r="G63" s="4" t="s">
        <v>1201</v>
      </c>
      <c r="H63" s="22" t="s">
        <v>41</v>
      </c>
      <c r="I63" s="4" t="s">
        <v>825</v>
      </c>
      <c r="J63" s="24" t="s">
        <v>828</v>
      </c>
      <c r="K63" s="4" t="s">
        <v>90</v>
      </c>
      <c r="L63" s="4">
        <v>23</v>
      </c>
      <c r="M63" s="34">
        <v>0.65714285714285714</v>
      </c>
      <c r="N63" s="4">
        <v>9</v>
      </c>
      <c r="O63" s="33">
        <v>0.9</v>
      </c>
      <c r="P63" s="4">
        <v>19</v>
      </c>
      <c r="Q63" s="33">
        <v>0.6333333333333333</v>
      </c>
      <c r="R63" s="4">
        <v>13</v>
      </c>
      <c r="S63" s="33">
        <v>0.52</v>
      </c>
      <c r="T63" s="4">
        <v>64</v>
      </c>
      <c r="U63" s="33">
        <v>0.64</v>
      </c>
      <c r="V63" s="13" t="s">
        <v>111</v>
      </c>
      <c r="W63" s="13" t="s">
        <v>823</v>
      </c>
      <c r="X63" s="14">
        <v>46011</v>
      </c>
      <c r="Y63" s="11" t="s">
        <v>1279</v>
      </c>
      <c r="Z63" s="36" t="s">
        <v>845</v>
      </c>
    </row>
    <row r="64" spans="1:26" x14ac:dyDescent="0.25">
      <c r="A64" s="22">
        <v>12</v>
      </c>
      <c r="B64" s="21" t="s">
        <v>857</v>
      </c>
      <c r="C64" s="26" t="s">
        <v>941</v>
      </c>
      <c r="D64" s="4" t="s">
        <v>1028</v>
      </c>
      <c r="E64" s="24" t="s">
        <v>1115</v>
      </c>
      <c r="F64" s="4"/>
      <c r="G64" s="4" t="s">
        <v>1202</v>
      </c>
      <c r="H64" s="22" t="s">
        <v>41</v>
      </c>
      <c r="I64" s="4" t="s">
        <v>825</v>
      </c>
      <c r="J64" s="24" t="s">
        <v>828</v>
      </c>
      <c r="K64" s="4" t="s">
        <v>90</v>
      </c>
      <c r="L64" s="4">
        <v>7</v>
      </c>
      <c r="M64" s="34">
        <v>0.2</v>
      </c>
      <c r="N64" s="4">
        <v>4</v>
      </c>
      <c r="O64" s="33">
        <v>0.4</v>
      </c>
      <c r="P64" s="4">
        <v>10</v>
      </c>
      <c r="Q64" s="33">
        <v>0.33333333333333331</v>
      </c>
      <c r="R64" s="4">
        <v>10</v>
      </c>
      <c r="S64" s="33">
        <v>0.4</v>
      </c>
      <c r="T64" s="4">
        <v>31</v>
      </c>
      <c r="U64" s="33">
        <v>0.31</v>
      </c>
      <c r="V64" s="13" t="s">
        <v>111</v>
      </c>
      <c r="W64" s="13" t="s">
        <v>823</v>
      </c>
      <c r="X64" s="14">
        <v>46011</v>
      </c>
      <c r="Y64" s="11" t="s">
        <v>1279</v>
      </c>
      <c r="Z64" s="36" t="s">
        <v>845</v>
      </c>
    </row>
    <row r="65" spans="1:26" x14ac:dyDescent="0.25">
      <c r="A65" s="22">
        <v>13</v>
      </c>
      <c r="B65" s="21" t="s">
        <v>858</v>
      </c>
      <c r="C65" s="26" t="s">
        <v>942</v>
      </c>
      <c r="D65" s="4" t="s">
        <v>1029</v>
      </c>
      <c r="E65" s="24" t="s">
        <v>1116</v>
      </c>
      <c r="F65" s="4"/>
      <c r="G65" s="4" t="s">
        <v>1203</v>
      </c>
      <c r="H65" s="22" t="s">
        <v>41</v>
      </c>
      <c r="I65" s="4" t="s">
        <v>825</v>
      </c>
      <c r="J65" s="24" t="s">
        <v>828</v>
      </c>
      <c r="K65" s="4" t="s">
        <v>90</v>
      </c>
      <c r="L65" s="4">
        <v>19</v>
      </c>
      <c r="M65" s="34">
        <v>0.54285714285714282</v>
      </c>
      <c r="N65" s="4">
        <v>8</v>
      </c>
      <c r="O65" s="33">
        <v>0.8</v>
      </c>
      <c r="P65" s="4">
        <v>16</v>
      </c>
      <c r="Q65" s="33">
        <v>0.53333333333333333</v>
      </c>
      <c r="R65" s="4">
        <v>18</v>
      </c>
      <c r="S65" s="33">
        <v>0.72</v>
      </c>
      <c r="T65" s="4">
        <v>61</v>
      </c>
      <c r="U65" s="33">
        <v>0.61</v>
      </c>
      <c r="V65" s="13" t="s">
        <v>111</v>
      </c>
      <c r="W65" s="13" t="s">
        <v>823</v>
      </c>
      <c r="X65" s="14">
        <v>46011</v>
      </c>
      <c r="Y65" s="11" t="s">
        <v>1279</v>
      </c>
      <c r="Z65" s="36" t="s">
        <v>1280</v>
      </c>
    </row>
    <row r="66" spans="1:26" x14ac:dyDescent="0.25">
      <c r="A66" s="22">
        <v>14</v>
      </c>
      <c r="B66" s="21" t="s">
        <v>859</v>
      </c>
      <c r="C66" s="26" t="s">
        <v>943</v>
      </c>
      <c r="D66" s="4" t="s">
        <v>1030</v>
      </c>
      <c r="E66" s="24" t="s">
        <v>1117</v>
      </c>
      <c r="F66" s="4"/>
      <c r="G66" s="4" t="s">
        <v>1204</v>
      </c>
      <c r="H66" s="22" t="s">
        <v>41</v>
      </c>
      <c r="I66" s="4" t="s">
        <v>825</v>
      </c>
      <c r="J66" s="24" t="s">
        <v>828</v>
      </c>
      <c r="K66" s="4" t="s">
        <v>90</v>
      </c>
      <c r="L66" s="4">
        <v>19</v>
      </c>
      <c r="M66" s="34">
        <v>0.54285714285714282</v>
      </c>
      <c r="N66" s="4">
        <v>7</v>
      </c>
      <c r="O66" s="33">
        <v>0.7</v>
      </c>
      <c r="P66" s="4">
        <v>21</v>
      </c>
      <c r="Q66" s="33">
        <v>0.7</v>
      </c>
      <c r="R66" s="4">
        <v>17</v>
      </c>
      <c r="S66" s="33">
        <v>0.68</v>
      </c>
      <c r="T66" s="4">
        <v>64</v>
      </c>
      <c r="U66" s="33">
        <v>0.64</v>
      </c>
      <c r="V66" s="13" t="s">
        <v>111</v>
      </c>
      <c r="W66" s="13" t="s">
        <v>823</v>
      </c>
      <c r="X66" s="14">
        <v>46011</v>
      </c>
      <c r="Y66" s="11" t="s">
        <v>1279</v>
      </c>
      <c r="Z66" s="36" t="s">
        <v>845</v>
      </c>
    </row>
    <row r="67" spans="1:26" x14ac:dyDescent="0.25">
      <c r="A67" s="22">
        <v>15</v>
      </c>
      <c r="B67" s="23" t="s">
        <v>860</v>
      </c>
      <c r="C67" s="27" t="s">
        <v>944</v>
      </c>
      <c r="D67" s="12" t="s">
        <v>1031</v>
      </c>
      <c r="E67" s="24" t="s">
        <v>1118</v>
      </c>
      <c r="F67" s="4"/>
      <c r="G67" s="4" t="s">
        <v>1205</v>
      </c>
      <c r="H67" s="22" t="s">
        <v>41</v>
      </c>
      <c r="I67" s="12" t="s">
        <v>825</v>
      </c>
      <c r="J67" s="32" t="s">
        <v>828</v>
      </c>
      <c r="K67" s="12" t="s">
        <v>90</v>
      </c>
      <c r="L67" s="12">
        <v>25</v>
      </c>
      <c r="M67" s="34">
        <v>0.7142857142857143</v>
      </c>
      <c r="N67" s="12">
        <v>9</v>
      </c>
      <c r="O67" s="33">
        <v>0.9</v>
      </c>
      <c r="P67" s="12">
        <v>27</v>
      </c>
      <c r="Q67" s="33">
        <v>0.9</v>
      </c>
      <c r="R67" s="12">
        <v>21</v>
      </c>
      <c r="S67" s="33">
        <v>0.84</v>
      </c>
      <c r="T67" s="12">
        <v>82</v>
      </c>
      <c r="U67" s="33">
        <v>0.82</v>
      </c>
      <c r="V67" s="13" t="s">
        <v>111</v>
      </c>
      <c r="W67" s="13" t="s">
        <v>823</v>
      </c>
      <c r="X67" s="35">
        <v>46011</v>
      </c>
      <c r="Y67" s="22" t="s">
        <v>1279</v>
      </c>
      <c r="Z67" s="36" t="s">
        <v>1280</v>
      </c>
    </row>
    <row r="68" spans="1:26" x14ac:dyDescent="0.25">
      <c r="A68" s="22">
        <v>16</v>
      </c>
      <c r="B68" s="23" t="s">
        <v>861</v>
      </c>
      <c r="C68" s="27" t="s">
        <v>945</v>
      </c>
      <c r="D68" s="12" t="s">
        <v>1032</v>
      </c>
      <c r="E68" s="24" t="s">
        <v>1119</v>
      </c>
      <c r="F68" s="4"/>
      <c r="G68" s="4" t="s">
        <v>1206</v>
      </c>
      <c r="H68" s="22" t="s">
        <v>41</v>
      </c>
      <c r="I68" s="12" t="s">
        <v>1278</v>
      </c>
      <c r="J68" s="32" t="s">
        <v>45</v>
      </c>
      <c r="K68" s="12" t="s">
        <v>90</v>
      </c>
      <c r="L68" s="12">
        <v>17</v>
      </c>
      <c r="M68" s="34">
        <v>0.48571428571428571</v>
      </c>
      <c r="N68" s="12">
        <v>5</v>
      </c>
      <c r="O68" s="33">
        <v>0.5</v>
      </c>
      <c r="P68" s="12">
        <v>7</v>
      </c>
      <c r="Q68" s="33">
        <v>0.23333333333333331</v>
      </c>
      <c r="R68" s="12">
        <v>12</v>
      </c>
      <c r="S68" s="33">
        <v>0.48</v>
      </c>
      <c r="T68" s="12">
        <v>41</v>
      </c>
      <c r="U68" s="33">
        <v>0.41</v>
      </c>
      <c r="V68" s="13" t="s">
        <v>111</v>
      </c>
      <c r="W68" s="13" t="s">
        <v>823</v>
      </c>
      <c r="X68" s="35">
        <v>46011</v>
      </c>
      <c r="Y68" s="22" t="s">
        <v>1279</v>
      </c>
      <c r="Z68" s="36" t="s">
        <v>1280</v>
      </c>
    </row>
    <row r="69" spans="1:26" x14ac:dyDescent="0.25">
      <c r="A69" s="22">
        <v>17</v>
      </c>
      <c r="B69" s="23" t="s">
        <v>862</v>
      </c>
      <c r="C69" s="27" t="s">
        <v>946</v>
      </c>
      <c r="D69" s="12" t="s">
        <v>1033</v>
      </c>
      <c r="E69" s="24" t="s">
        <v>1120</v>
      </c>
      <c r="F69" s="4"/>
      <c r="G69" s="4" t="s">
        <v>1207</v>
      </c>
      <c r="H69" s="22" t="s">
        <v>41</v>
      </c>
      <c r="I69" s="12" t="s">
        <v>50</v>
      </c>
      <c r="J69" s="32" t="s">
        <v>824</v>
      </c>
      <c r="K69" s="12" t="s">
        <v>90</v>
      </c>
      <c r="L69" s="12">
        <v>16</v>
      </c>
      <c r="M69" s="34">
        <v>0.45714285714285707</v>
      </c>
      <c r="N69" s="12">
        <v>5</v>
      </c>
      <c r="O69" s="33">
        <v>0.5</v>
      </c>
      <c r="P69" s="12">
        <v>10</v>
      </c>
      <c r="Q69" s="33">
        <v>0.33333333333333331</v>
      </c>
      <c r="R69" s="12">
        <v>7.0000000000000009</v>
      </c>
      <c r="S69" s="33">
        <v>0.28000000000000003</v>
      </c>
      <c r="T69" s="12">
        <v>38</v>
      </c>
      <c r="U69" s="33">
        <v>0.38</v>
      </c>
      <c r="V69" s="13" t="s">
        <v>111</v>
      </c>
      <c r="W69" s="13" t="s">
        <v>823</v>
      </c>
      <c r="X69" s="35">
        <v>46011</v>
      </c>
      <c r="Y69" s="22" t="s">
        <v>1279</v>
      </c>
      <c r="Z69" s="36" t="s">
        <v>1280</v>
      </c>
    </row>
    <row r="70" spans="1:26" x14ac:dyDescent="0.25">
      <c r="A70" s="22">
        <v>18</v>
      </c>
      <c r="B70" s="23" t="s">
        <v>863</v>
      </c>
      <c r="C70" s="27" t="s">
        <v>947</v>
      </c>
      <c r="D70" s="12" t="s">
        <v>1034</v>
      </c>
      <c r="E70" s="24" t="s">
        <v>1121</v>
      </c>
      <c r="F70" s="4"/>
      <c r="G70" s="4" t="s">
        <v>1208</v>
      </c>
      <c r="H70" s="22" t="s">
        <v>41</v>
      </c>
      <c r="I70" s="12" t="s">
        <v>50</v>
      </c>
      <c r="J70" s="32" t="s">
        <v>824</v>
      </c>
      <c r="K70" s="12" t="s">
        <v>90</v>
      </c>
      <c r="L70" s="12">
        <v>17</v>
      </c>
      <c r="M70" s="34">
        <v>0.48571428571428571</v>
      </c>
      <c r="N70" s="12">
        <v>8</v>
      </c>
      <c r="O70" s="33">
        <v>0.8</v>
      </c>
      <c r="P70" s="12">
        <v>14</v>
      </c>
      <c r="Q70" s="33">
        <v>0.46666666666666667</v>
      </c>
      <c r="R70" s="12">
        <v>15</v>
      </c>
      <c r="S70" s="33">
        <v>0.6</v>
      </c>
      <c r="T70" s="12">
        <v>54</v>
      </c>
      <c r="U70" s="33">
        <v>0.54</v>
      </c>
      <c r="V70" s="13" t="s">
        <v>111</v>
      </c>
      <c r="W70" s="13" t="s">
        <v>823</v>
      </c>
      <c r="X70" s="35">
        <v>46011</v>
      </c>
      <c r="Y70" s="22" t="s">
        <v>1279</v>
      </c>
      <c r="Z70" s="36" t="s">
        <v>1280</v>
      </c>
    </row>
    <row r="71" spans="1:26" x14ac:dyDescent="0.25">
      <c r="A71" s="22">
        <v>19</v>
      </c>
      <c r="B71" s="23" t="s">
        <v>864</v>
      </c>
      <c r="C71" s="27" t="s">
        <v>948</v>
      </c>
      <c r="D71" s="12" t="s">
        <v>1035</v>
      </c>
      <c r="E71" s="24" t="s">
        <v>1122</v>
      </c>
      <c r="F71" s="4"/>
      <c r="G71" s="4" t="s">
        <v>1209</v>
      </c>
      <c r="H71" s="22" t="s">
        <v>41</v>
      </c>
      <c r="I71" s="12" t="s">
        <v>50</v>
      </c>
      <c r="J71" s="32" t="s">
        <v>824</v>
      </c>
      <c r="K71" s="12" t="s">
        <v>90</v>
      </c>
      <c r="L71" s="12">
        <v>14</v>
      </c>
      <c r="M71" s="34">
        <v>0.4</v>
      </c>
      <c r="N71" s="12">
        <v>0</v>
      </c>
      <c r="O71" s="33">
        <v>0</v>
      </c>
      <c r="P71" s="12">
        <v>6</v>
      </c>
      <c r="Q71" s="33">
        <v>0.2</v>
      </c>
      <c r="R71" s="12">
        <v>0</v>
      </c>
      <c r="S71" s="33">
        <v>0</v>
      </c>
      <c r="T71" s="12">
        <v>20</v>
      </c>
      <c r="U71" s="33">
        <v>0.2</v>
      </c>
      <c r="V71" s="13" t="s">
        <v>111</v>
      </c>
      <c r="W71" s="13" t="s">
        <v>823</v>
      </c>
      <c r="X71" s="35">
        <v>46011</v>
      </c>
      <c r="Y71" s="22" t="s">
        <v>1279</v>
      </c>
      <c r="Z71" s="36" t="s">
        <v>1280</v>
      </c>
    </row>
    <row r="72" spans="1:26" x14ac:dyDescent="0.25">
      <c r="A72" s="22">
        <v>20</v>
      </c>
      <c r="B72" s="23" t="s">
        <v>865</v>
      </c>
      <c r="C72" s="27" t="s">
        <v>949</v>
      </c>
      <c r="D72" s="12" t="s">
        <v>1036</v>
      </c>
      <c r="E72" s="24" t="s">
        <v>1123</v>
      </c>
      <c r="F72" s="4"/>
      <c r="G72" s="4" t="s">
        <v>1210</v>
      </c>
      <c r="H72" s="22" t="s">
        <v>41</v>
      </c>
      <c r="I72" s="12" t="s">
        <v>50</v>
      </c>
      <c r="J72" s="32" t="s">
        <v>824</v>
      </c>
      <c r="K72" s="12" t="s">
        <v>90</v>
      </c>
      <c r="L72" s="12">
        <v>12</v>
      </c>
      <c r="M72" s="34">
        <v>0.34285714285714292</v>
      </c>
      <c r="N72" s="12">
        <v>6</v>
      </c>
      <c r="O72" s="33">
        <v>0.6</v>
      </c>
      <c r="P72" s="12">
        <v>9</v>
      </c>
      <c r="Q72" s="33">
        <v>0.3</v>
      </c>
      <c r="R72" s="12">
        <v>8</v>
      </c>
      <c r="S72" s="33">
        <v>0.32</v>
      </c>
      <c r="T72" s="12">
        <v>35</v>
      </c>
      <c r="U72" s="33">
        <v>0.35</v>
      </c>
      <c r="V72" s="13" t="s">
        <v>111</v>
      </c>
      <c r="W72" s="13" t="s">
        <v>823</v>
      </c>
      <c r="X72" s="35">
        <v>46011</v>
      </c>
      <c r="Y72" s="22" t="s">
        <v>1279</v>
      </c>
      <c r="Z72" s="36" t="s">
        <v>1280</v>
      </c>
    </row>
    <row r="73" spans="1:26" x14ac:dyDescent="0.25">
      <c r="A73" s="22">
        <v>21</v>
      </c>
      <c r="B73" s="23" t="s">
        <v>866</v>
      </c>
      <c r="C73" s="27" t="s">
        <v>950</v>
      </c>
      <c r="D73" s="12" t="s">
        <v>1037</v>
      </c>
      <c r="E73" s="24" t="s">
        <v>1124</v>
      </c>
      <c r="F73" s="4"/>
      <c r="G73" s="4" t="s">
        <v>1211</v>
      </c>
      <c r="H73" s="22" t="s">
        <v>41</v>
      </c>
      <c r="I73" s="12" t="s">
        <v>50</v>
      </c>
      <c r="J73" s="32" t="s">
        <v>824</v>
      </c>
      <c r="K73" s="12" t="s">
        <v>90</v>
      </c>
      <c r="L73" s="12">
        <v>25</v>
      </c>
      <c r="M73" s="34">
        <v>0.7142857142857143</v>
      </c>
      <c r="N73" s="12">
        <v>9</v>
      </c>
      <c r="O73" s="33">
        <v>0.9</v>
      </c>
      <c r="P73" s="12">
        <v>28</v>
      </c>
      <c r="Q73" s="33">
        <v>0.93333333333333335</v>
      </c>
      <c r="R73" s="12">
        <v>17</v>
      </c>
      <c r="S73" s="33">
        <v>0.68</v>
      </c>
      <c r="T73" s="12">
        <v>79</v>
      </c>
      <c r="U73" s="33">
        <v>0.79</v>
      </c>
      <c r="V73" s="13" t="s">
        <v>111</v>
      </c>
      <c r="W73" s="13" t="s">
        <v>823</v>
      </c>
      <c r="X73" s="35">
        <v>46011</v>
      </c>
      <c r="Y73" s="22" t="s">
        <v>1279</v>
      </c>
      <c r="Z73" s="36" t="s">
        <v>1280</v>
      </c>
    </row>
    <row r="74" spans="1:26" x14ac:dyDescent="0.25">
      <c r="A74" s="22">
        <v>22</v>
      </c>
      <c r="B74" s="23" t="s">
        <v>867</v>
      </c>
      <c r="C74" s="27" t="s">
        <v>951</v>
      </c>
      <c r="D74" s="12" t="s">
        <v>1038</v>
      </c>
      <c r="E74" s="24" t="s">
        <v>1125</v>
      </c>
      <c r="F74" s="4"/>
      <c r="G74" s="4" t="s">
        <v>1212</v>
      </c>
      <c r="H74" s="22" t="s">
        <v>41</v>
      </c>
      <c r="I74" s="12" t="s">
        <v>50</v>
      </c>
      <c r="J74" s="32" t="s">
        <v>824</v>
      </c>
      <c r="K74" s="12" t="s">
        <v>90</v>
      </c>
      <c r="L74" s="12">
        <v>19</v>
      </c>
      <c r="M74" s="34">
        <v>0.54285714285714282</v>
      </c>
      <c r="N74" s="12">
        <v>5</v>
      </c>
      <c r="O74" s="33">
        <v>0.5</v>
      </c>
      <c r="P74" s="12">
        <v>19</v>
      </c>
      <c r="Q74" s="33">
        <v>0.6333333333333333</v>
      </c>
      <c r="R74" s="12">
        <v>15</v>
      </c>
      <c r="S74" s="33">
        <v>0.6</v>
      </c>
      <c r="T74" s="12">
        <v>58</v>
      </c>
      <c r="U74" s="33">
        <v>0.57999999999999996</v>
      </c>
      <c r="V74" s="13" t="s">
        <v>111</v>
      </c>
      <c r="W74" s="13" t="s">
        <v>823</v>
      </c>
      <c r="X74" s="35">
        <v>46011</v>
      </c>
      <c r="Y74" s="22" t="s">
        <v>1279</v>
      </c>
      <c r="Z74" s="36" t="s">
        <v>1280</v>
      </c>
    </row>
    <row r="75" spans="1:26" x14ac:dyDescent="0.25">
      <c r="A75" s="22">
        <v>23</v>
      </c>
      <c r="B75" s="23" t="s">
        <v>868</v>
      </c>
      <c r="C75" s="27" t="s">
        <v>952</v>
      </c>
      <c r="D75" s="12" t="s">
        <v>1039</v>
      </c>
      <c r="E75" s="24" t="s">
        <v>1126</v>
      </c>
      <c r="F75" s="4"/>
      <c r="G75" s="4" t="s">
        <v>1213</v>
      </c>
      <c r="H75" s="22" t="s">
        <v>41</v>
      </c>
      <c r="I75" s="12" t="s">
        <v>50</v>
      </c>
      <c r="J75" s="32" t="s">
        <v>828</v>
      </c>
      <c r="K75" s="12" t="s">
        <v>90</v>
      </c>
      <c r="L75" s="12">
        <v>26</v>
      </c>
      <c r="M75" s="34">
        <v>0.74285714285714288</v>
      </c>
      <c r="N75" s="12">
        <v>3</v>
      </c>
      <c r="O75" s="33">
        <v>0.3</v>
      </c>
      <c r="P75" s="12">
        <v>21</v>
      </c>
      <c r="Q75" s="33">
        <v>0.7</v>
      </c>
      <c r="R75" s="12">
        <v>14</v>
      </c>
      <c r="S75" s="33">
        <v>0.56000000000000005</v>
      </c>
      <c r="T75" s="12">
        <v>64</v>
      </c>
      <c r="U75" s="33">
        <v>0.64</v>
      </c>
      <c r="V75" s="13" t="s">
        <v>111</v>
      </c>
      <c r="W75" s="13" t="s">
        <v>823</v>
      </c>
      <c r="X75" s="35">
        <v>46011</v>
      </c>
      <c r="Y75" s="22" t="s">
        <v>1279</v>
      </c>
      <c r="Z75" s="36" t="s">
        <v>1280</v>
      </c>
    </row>
    <row r="76" spans="1:26" x14ac:dyDescent="0.25">
      <c r="A76" s="22">
        <v>24</v>
      </c>
      <c r="B76" s="23" t="s">
        <v>869</v>
      </c>
      <c r="C76" s="27" t="s">
        <v>953</v>
      </c>
      <c r="D76" s="12" t="s">
        <v>1040</v>
      </c>
      <c r="E76" s="24" t="s">
        <v>1127</v>
      </c>
      <c r="F76" s="4"/>
      <c r="G76" s="4" t="s">
        <v>1214</v>
      </c>
      <c r="H76" s="22" t="s">
        <v>41</v>
      </c>
      <c r="I76" s="12" t="s">
        <v>50</v>
      </c>
      <c r="J76" s="32" t="s">
        <v>828</v>
      </c>
      <c r="K76" s="12" t="s">
        <v>90</v>
      </c>
      <c r="L76" s="12">
        <v>25</v>
      </c>
      <c r="M76" s="34">
        <v>0.7142857142857143</v>
      </c>
      <c r="N76" s="12">
        <v>7</v>
      </c>
      <c r="O76" s="33">
        <v>0.7</v>
      </c>
      <c r="P76" s="12">
        <v>22</v>
      </c>
      <c r="Q76" s="33">
        <v>0.73333333333333328</v>
      </c>
      <c r="R76" s="12">
        <v>21</v>
      </c>
      <c r="S76" s="33">
        <v>0.84</v>
      </c>
      <c r="T76" s="12">
        <v>75</v>
      </c>
      <c r="U76" s="33">
        <v>0.75</v>
      </c>
      <c r="V76" s="13" t="s">
        <v>111</v>
      </c>
      <c r="W76" s="13" t="s">
        <v>823</v>
      </c>
      <c r="X76" s="35">
        <v>46011</v>
      </c>
      <c r="Y76" s="22" t="s">
        <v>1279</v>
      </c>
      <c r="Z76" s="36" t="s">
        <v>845</v>
      </c>
    </row>
    <row r="77" spans="1:26" x14ac:dyDescent="0.25">
      <c r="A77" s="22">
        <v>25</v>
      </c>
      <c r="B77" s="23" t="s">
        <v>870</v>
      </c>
      <c r="C77" s="27" t="s">
        <v>954</v>
      </c>
      <c r="D77" s="12" t="s">
        <v>1041</v>
      </c>
      <c r="E77" s="24" t="s">
        <v>1128</v>
      </c>
      <c r="F77" s="4"/>
      <c r="G77" s="4" t="s">
        <v>1215</v>
      </c>
      <c r="H77" s="22" t="s">
        <v>41</v>
      </c>
      <c r="I77" s="12" t="s">
        <v>50</v>
      </c>
      <c r="J77" s="32" t="s">
        <v>828</v>
      </c>
      <c r="K77" s="12" t="s">
        <v>90</v>
      </c>
      <c r="L77" s="12">
        <v>13</v>
      </c>
      <c r="M77" s="34">
        <v>0.37142857142857139</v>
      </c>
      <c r="N77" s="12">
        <v>6</v>
      </c>
      <c r="O77" s="33">
        <v>0.6</v>
      </c>
      <c r="P77" s="12">
        <v>11</v>
      </c>
      <c r="Q77" s="33">
        <v>0.36666666666666659</v>
      </c>
      <c r="R77" s="12">
        <v>12</v>
      </c>
      <c r="S77" s="33">
        <v>0.48</v>
      </c>
      <c r="T77" s="12">
        <v>42</v>
      </c>
      <c r="U77" s="33">
        <v>0.42</v>
      </c>
      <c r="V77" s="13" t="s">
        <v>111</v>
      </c>
      <c r="W77" s="13" t="s">
        <v>823</v>
      </c>
      <c r="X77" s="35">
        <v>46011</v>
      </c>
      <c r="Y77" s="22" t="s">
        <v>1279</v>
      </c>
      <c r="Z77" s="36" t="s">
        <v>1280</v>
      </c>
    </row>
    <row r="78" spans="1:26" x14ac:dyDescent="0.25">
      <c r="A78" s="22">
        <v>26</v>
      </c>
      <c r="B78" s="23" t="s">
        <v>871</v>
      </c>
      <c r="C78" s="27" t="s">
        <v>955</v>
      </c>
      <c r="D78" s="12" t="s">
        <v>1042</v>
      </c>
      <c r="E78" s="24" t="s">
        <v>1129</v>
      </c>
      <c r="F78" s="4"/>
      <c r="G78" s="4" t="s">
        <v>1216</v>
      </c>
      <c r="H78" s="22" t="s">
        <v>41</v>
      </c>
      <c r="I78" s="12" t="s">
        <v>50</v>
      </c>
      <c r="J78" s="32" t="s">
        <v>828</v>
      </c>
      <c r="K78" s="12" t="s">
        <v>90</v>
      </c>
      <c r="L78" s="12">
        <v>24</v>
      </c>
      <c r="M78" s="34">
        <v>0.68571428571428572</v>
      </c>
      <c r="N78" s="12">
        <v>9</v>
      </c>
      <c r="O78" s="33">
        <v>0.9</v>
      </c>
      <c r="P78" s="12">
        <v>20</v>
      </c>
      <c r="Q78" s="33">
        <v>0.66666666666666663</v>
      </c>
      <c r="R78" s="12">
        <v>11</v>
      </c>
      <c r="S78" s="33">
        <v>0.44</v>
      </c>
      <c r="T78" s="12">
        <v>64</v>
      </c>
      <c r="U78" s="33">
        <v>0.64</v>
      </c>
      <c r="V78" s="13" t="s">
        <v>111</v>
      </c>
      <c r="W78" s="13" t="s">
        <v>823</v>
      </c>
      <c r="X78" s="35">
        <v>46011</v>
      </c>
      <c r="Y78" s="22" t="s">
        <v>1279</v>
      </c>
      <c r="Z78" s="36" t="s">
        <v>1280</v>
      </c>
    </row>
    <row r="79" spans="1:26" x14ac:dyDescent="0.25">
      <c r="A79" s="22">
        <v>27</v>
      </c>
      <c r="B79" s="23" t="s">
        <v>872</v>
      </c>
      <c r="C79" s="27" t="s">
        <v>956</v>
      </c>
      <c r="D79" s="12" t="s">
        <v>1043</v>
      </c>
      <c r="E79" s="24" t="s">
        <v>1130</v>
      </c>
      <c r="F79" s="4"/>
      <c r="G79" s="4" t="s">
        <v>1217</v>
      </c>
      <c r="H79" s="22" t="s">
        <v>41</v>
      </c>
      <c r="I79" s="12" t="s">
        <v>50</v>
      </c>
      <c r="J79" s="32" t="s">
        <v>828</v>
      </c>
      <c r="K79" s="12" t="s">
        <v>90</v>
      </c>
      <c r="L79" s="12">
        <v>23</v>
      </c>
      <c r="M79" s="34">
        <v>0.65714285714285714</v>
      </c>
      <c r="N79" s="12">
        <v>8</v>
      </c>
      <c r="O79" s="33">
        <v>0.8</v>
      </c>
      <c r="P79" s="12">
        <v>17</v>
      </c>
      <c r="Q79" s="33">
        <v>0.56666666666666665</v>
      </c>
      <c r="R79" s="12">
        <v>18</v>
      </c>
      <c r="S79" s="33">
        <v>0.72</v>
      </c>
      <c r="T79" s="12">
        <v>66</v>
      </c>
      <c r="U79" s="33">
        <v>0.66</v>
      </c>
      <c r="V79" s="13" t="s">
        <v>111</v>
      </c>
      <c r="W79" s="13" t="s">
        <v>823</v>
      </c>
      <c r="X79" s="35">
        <v>46011</v>
      </c>
      <c r="Y79" s="22" t="s">
        <v>1279</v>
      </c>
      <c r="Z79" s="36" t="s">
        <v>1280</v>
      </c>
    </row>
    <row r="80" spans="1:26" x14ac:dyDescent="0.25">
      <c r="A80" s="22">
        <v>28</v>
      </c>
      <c r="B80" s="23" t="s">
        <v>873</v>
      </c>
      <c r="C80" s="27" t="s">
        <v>957</v>
      </c>
      <c r="D80" s="12" t="s">
        <v>1044</v>
      </c>
      <c r="E80" s="24" t="s">
        <v>1131</v>
      </c>
      <c r="F80" s="4"/>
      <c r="G80" s="4" t="s">
        <v>1218</v>
      </c>
      <c r="H80" s="22" t="s">
        <v>41</v>
      </c>
      <c r="I80" s="12" t="s">
        <v>50</v>
      </c>
      <c r="J80" s="32" t="s">
        <v>828</v>
      </c>
      <c r="K80" s="12" t="s">
        <v>90</v>
      </c>
      <c r="L80" s="12">
        <v>20</v>
      </c>
      <c r="M80" s="34">
        <v>0.5714285714285714</v>
      </c>
      <c r="N80" s="12">
        <v>9</v>
      </c>
      <c r="O80" s="33">
        <v>0.9</v>
      </c>
      <c r="P80" s="12">
        <v>14</v>
      </c>
      <c r="Q80" s="33">
        <v>0.46666666666666667</v>
      </c>
      <c r="R80" s="12">
        <v>16</v>
      </c>
      <c r="S80" s="33">
        <v>0.64</v>
      </c>
      <c r="T80" s="12">
        <v>59</v>
      </c>
      <c r="U80" s="33">
        <v>0.59</v>
      </c>
      <c r="V80" s="13" t="s">
        <v>111</v>
      </c>
      <c r="W80" s="13" t="s">
        <v>823</v>
      </c>
      <c r="X80" s="35">
        <v>46011</v>
      </c>
      <c r="Y80" s="22" t="s">
        <v>1279</v>
      </c>
      <c r="Z80" s="36" t="s">
        <v>1280</v>
      </c>
    </row>
    <row r="81" spans="1:26" x14ac:dyDescent="0.25">
      <c r="A81" s="22">
        <v>29</v>
      </c>
      <c r="B81" s="23" t="s">
        <v>874</v>
      </c>
      <c r="C81" s="27" t="s">
        <v>958</v>
      </c>
      <c r="D81" s="12" t="s">
        <v>1045</v>
      </c>
      <c r="E81" s="24" t="s">
        <v>1132</v>
      </c>
      <c r="F81" s="4"/>
      <c r="G81" s="4" t="s">
        <v>1219</v>
      </c>
      <c r="H81" s="22" t="s">
        <v>41</v>
      </c>
      <c r="I81" s="12" t="s">
        <v>50</v>
      </c>
      <c r="J81" s="32" t="s">
        <v>828</v>
      </c>
      <c r="K81" s="12" t="s">
        <v>90</v>
      </c>
      <c r="L81" s="12">
        <v>28</v>
      </c>
      <c r="M81" s="34">
        <v>0.8</v>
      </c>
      <c r="N81" s="12">
        <v>7</v>
      </c>
      <c r="O81" s="33">
        <v>0.7</v>
      </c>
      <c r="P81" s="12">
        <v>26</v>
      </c>
      <c r="Q81" s="33">
        <v>0.8666666666666667</v>
      </c>
      <c r="R81" s="12">
        <v>19</v>
      </c>
      <c r="S81" s="33">
        <v>0.76</v>
      </c>
      <c r="T81" s="12">
        <v>80</v>
      </c>
      <c r="U81" s="33">
        <v>0.8</v>
      </c>
      <c r="V81" s="13" t="s">
        <v>111</v>
      </c>
      <c r="W81" s="13" t="s">
        <v>823</v>
      </c>
      <c r="X81" s="35">
        <v>46011</v>
      </c>
      <c r="Y81" s="22" t="s">
        <v>1279</v>
      </c>
      <c r="Z81" s="36" t="s">
        <v>845</v>
      </c>
    </row>
    <row r="82" spans="1:26" x14ac:dyDescent="0.25">
      <c r="A82" s="22">
        <v>30</v>
      </c>
      <c r="B82" s="23" t="s">
        <v>875</v>
      </c>
      <c r="C82" s="27" t="s">
        <v>959</v>
      </c>
      <c r="D82" s="12" t="s">
        <v>1046</v>
      </c>
      <c r="E82" s="24" t="s">
        <v>1133</v>
      </c>
      <c r="F82" s="4"/>
      <c r="G82" s="4" t="s">
        <v>1220</v>
      </c>
      <c r="H82" s="22" t="s">
        <v>41</v>
      </c>
      <c r="I82" s="12" t="s">
        <v>50</v>
      </c>
      <c r="J82" s="32" t="s">
        <v>828</v>
      </c>
      <c r="K82" s="12" t="s">
        <v>90</v>
      </c>
      <c r="L82" s="12">
        <v>19</v>
      </c>
      <c r="M82" s="34">
        <v>0.54285714285714282</v>
      </c>
      <c r="N82" s="12">
        <v>6</v>
      </c>
      <c r="O82" s="33">
        <v>0.6</v>
      </c>
      <c r="P82" s="12">
        <v>21</v>
      </c>
      <c r="Q82" s="33">
        <v>0.7</v>
      </c>
      <c r="R82" s="12">
        <v>21</v>
      </c>
      <c r="S82" s="33">
        <v>0.84</v>
      </c>
      <c r="T82" s="12">
        <v>67</v>
      </c>
      <c r="U82" s="33">
        <v>0.67</v>
      </c>
      <c r="V82" s="13" t="s">
        <v>111</v>
      </c>
      <c r="W82" s="13" t="s">
        <v>823</v>
      </c>
      <c r="X82" s="35">
        <v>46011</v>
      </c>
      <c r="Y82" s="22" t="s">
        <v>1279</v>
      </c>
      <c r="Z82" s="36" t="s">
        <v>845</v>
      </c>
    </row>
    <row r="83" spans="1:26" x14ac:dyDescent="0.25">
      <c r="A83" s="22">
        <v>31</v>
      </c>
      <c r="B83" s="23" t="s">
        <v>876</v>
      </c>
      <c r="C83" s="27" t="s">
        <v>960</v>
      </c>
      <c r="D83" s="12" t="s">
        <v>1047</v>
      </c>
      <c r="E83" s="24" t="s">
        <v>1134</v>
      </c>
      <c r="F83" s="4"/>
      <c r="G83" s="4" t="s">
        <v>1221</v>
      </c>
      <c r="H83" s="22" t="s">
        <v>41</v>
      </c>
      <c r="I83" s="12" t="s">
        <v>50</v>
      </c>
      <c r="J83" s="32" t="s">
        <v>828</v>
      </c>
      <c r="K83" s="12" t="s">
        <v>90</v>
      </c>
      <c r="L83" s="12">
        <v>27</v>
      </c>
      <c r="M83" s="34">
        <v>0.77142857142857146</v>
      </c>
      <c r="N83" s="12">
        <v>7</v>
      </c>
      <c r="O83" s="33">
        <v>0.7</v>
      </c>
      <c r="P83" s="12">
        <v>17</v>
      </c>
      <c r="Q83" s="33">
        <v>0.56666666666666665</v>
      </c>
      <c r="R83" s="12">
        <v>16</v>
      </c>
      <c r="S83" s="33">
        <v>0.64</v>
      </c>
      <c r="T83" s="12">
        <v>67</v>
      </c>
      <c r="U83" s="33">
        <v>0.67</v>
      </c>
      <c r="V83" s="13" t="s">
        <v>111</v>
      </c>
      <c r="W83" s="13" t="s">
        <v>823</v>
      </c>
      <c r="X83" s="35">
        <v>46011</v>
      </c>
      <c r="Y83" s="22" t="s">
        <v>1279</v>
      </c>
      <c r="Z83" s="36" t="s">
        <v>1280</v>
      </c>
    </row>
    <row r="84" spans="1:26" x14ac:dyDescent="0.25">
      <c r="A84" s="22">
        <v>32</v>
      </c>
      <c r="B84" s="23" t="s">
        <v>877</v>
      </c>
      <c r="C84" s="27" t="s">
        <v>961</v>
      </c>
      <c r="D84" s="12" t="s">
        <v>1048</v>
      </c>
      <c r="E84" s="24" t="s">
        <v>1135</v>
      </c>
      <c r="F84" s="4"/>
      <c r="G84" s="4" t="s">
        <v>1222</v>
      </c>
      <c r="H84" s="22" t="s">
        <v>41</v>
      </c>
      <c r="I84" s="12" t="s">
        <v>50</v>
      </c>
      <c r="J84" s="32" t="s">
        <v>828</v>
      </c>
      <c r="K84" s="12" t="s">
        <v>90</v>
      </c>
      <c r="L84" s="12">
        <v>23</v>
      </c>
      <c r="M84" s="34">
        <v>0.65714285714285714</v>
      </c>
      <c r="N84" s="12">
        <v>8</v>
      </c>
      <c r="O84" s="33">
        <v>0.8</v>
      </c>
      <c r="P84" s="12">
        <v>25</v>
      </c>
      <c r="Q84" s="33">
        <v>0.83333333333333337</v>
      </c>
      <c r="R84" s="12">
        <v>18</v>
      </c>
      <c r="S84" s="33">
        <v>0.72</v>
      </c>
      <c r="T84" s="12">
        <v>74</v>
      </c>
      <c r="U84" s="33">
        <v>0.74</v>
      </c>
      <c r="V84" s="13" t="s">
        <v>111</v>
      </c>
      <c r="W84" s="13" t="s">
        <v>823</v>
      </c>
      <c r="X84" s="35">
        <v>46011</v>
      </c>
      <c r="Y84" s="22" t="s">
        <v>1279</v>
      </c>
      <c r="Z84" s="36" t="s">
        <v>845</v>
      </c>
    </row>
    <row r="85" spans="1:26" x14ac:dyDescent="0.25">
      <c r="A85" s="22">
        <v>33</v>
      </c>
      <c r="B85" s="23" t="s">
        <v>878</v>
      </c>
      <c r="C85" s="27" t="s">
        <v>962</v>
      </c>
      <c r="D85" s="12" t="s">
        <v>1049</v>
      </c>
      <c r="E85" s="24" t="s">
        <v>1136</v>
      </c>
      <c r="F85" s="4"/>
      <c r="G85" s="4" t="s">
        <v>1223</v>
      </c>
      <c r="H85" s="22" t="s">
        <v>41</v>
      </c>
      <c r="I85" s="12" t="s">
        <v>50</v>
      </c>
      <c r="J85" s="32" t="s">
        <v>828</v>
      </c>
      <c r="K85" s="12" t="s">
        <v>90</v>
      </c>
      <c r="L85" s="12">
        <v>21</v>
      </c>
      <c r="M85" s="34">
        <v>0.6</v>
      </c>
      <c r="N85" s="12">
        <v>3</v>
      </c>
      <c r="O85" s="33">
        <v>0.3</v>
      </c>
      <c r="P85" s="12">
        <v>20</v>
      </c>
      <c r="Q85" s="33">
        <v>0.66666666666666663</v>
      </c>
      <c r="R85" s="12">
        <v>16</v>
      </c>
      <c r="S85" s="33">
        <v>0.64</v>
      </c>
      <c r="T85" s="12">
        <v>60</v>
      </c>
      <c r="U85" s="33">
        <v>0.6</v>
      </c>
      <c r="V85" s="13" t="s">
        <v>111</v>
      </c>
      <c r="W85" s="13" t="s">
        <v>823</v>
      </c>
      <c r="X85" s="35">
        <v>46011</v>
      </c>
      <c r="Y85" s="22" t="s">
        <v>1279</v>
      </c>
      <c r="Z85" s="36" t="s">
        <v>845</v>
      </c>
    </row>
    <row r="86" spans="1:26" x14ac:dyDescent="0.25">
      <c r="A86" s="22">
        <v>34</v>
      </c>
      <c r="B86" s="23" t="s">
        <v>879</v>
      </c>
      <c r="C86" s="27" t="s">
        <v>963</v>
      </c>
      <c r="D86" s="12" t="s">
        <v>1050</v>
      </c>
      <c r="E86" s="24" t="s">
        <v>1137</v>
      </c>
      <c r="F86" s="4"/>
      <c r="G86" s="4" t="s">
        <v>1224</v>
      </c>
      <c r="H86" s="22" t="s">
        <v>41</v>
      </c>
      <c r="I86" s="12" t="s">
        <v>50</v>
      </c>
      <c r="J86" s="32" t="s">
        <v>828</v>
      </c>
      <c r="K86" s="12" t="s">
        <v>90</v>
      </c>
      <c r="L86" s="12">
        <v>26</v>
      </c>
      <c r="M86" s="34">
        <v>0.74285714285714288</v>
      </c>
      <c r="N86" s="12">
        <v>4</v>
      </c>
      <c r="O86" s="33">
        <v>0.4</v>
      </c>
      <c r="P86" s="12">
        <v>23</v>
      </c>
      <c r="Q86" s="33">
        <v>0.76666666666666672</v>
      </c>
      <c r="R86" s="12">
        <v>22</v>
      </c>
      <c r="S86" s="33">
        <v>0.88</v>
      </c>
      <c r="T86" s="12">
        <v>75</v>
      </c>
      <c r="U86" s="33">
        <v>0.75</v>
      </c>
      <c r="V86" s="13" t="s">
        <v>111</v>
      </c>
      <c r="W86" s="13" t="s">
        <v>823</v>
      </c>
      <c r="X86" s="35">
        <v>46011</v>
      </c>
      <c r="Y86" s="22" t="s">
        <v>1279</v>
      </c>
      <c r="Z86" s="36" t="s">
        <v>1280</v>
      </c>
    </row>
    <row r="87" spans="1:26" x14ac:dyDescent="0.25">
      <c r="A87" s="22">
        <v>35</v>
      </c>
      <c r="B87" s="23" t="s">
        <v>880</v>
      </c>
      <c r="C87" s="27" t="s">
        <v>964</v>
      </c>
      <c r="D87" s="12" t="s">
        <v>1051</v>
      </c>
      <c r="E87" s="24" t="s">
        <v>1138</v>
      </c>
      <c r="F87" s="4"/>
      <c r="G87" s="4" t="s">
        <v>1225</v>
      </c>
      <c r="H87" s="22" t="s">
        <v>41</v>
      </c>
      <c r="I87" s="12" t="s">
        <v>50</v>
      </c>
      <c r="J87" s="32" t="s">
        <v>824</v>
      </c>
      <c r="K87" s="12" t="s">
        <v>90</v>
      </c>
      <c r="L87" s="12">
        <v>20</v>
      </c>
      <c r="M87" s="34">
        <v>0.5714285714285714</v>
      </c>
      <c r="N87" s="12">
        <v>8</v>
      </c>
      <c r="O87" s="33">
        <v>0.8</v>
      </c>
      <c r="P87" s="12">
        <v>21</v>
      </c>
      <c r="Q87" s="33">
        <v>0.7</v>
      </c>
      <c r="R87" s="12">
        <v>16</v>
      </c>
      <c r="S87" s="33">
        <v>0.64</v>
      </c>
      <c r="T87" s="12">
        <v>65</v>
      </c>
      <c r="U87" s="33">
        <v>0.65</v>
      </c>
      <c r="V87" s="13" t="s">
        <v>111</v>
      </c>
      <c r="W87" s="13" t="s">
        <v>823</v>
      </c>
      <c r="X87" s="35">
        <v>46011</v>
      </c>
      <c r="Y87" s="22" t="s">
        <v>1279</v>
      </c>
      <c r="Z87" s="36" t="s">
        <v>1280</v>
      </c>
    </row>
    <row r="88" spans="1:26" s="38" customFormat="1" x14ac:dyDescent="0.25">
      <c r="A88" s="22">
        <v>36</v>
      </c>
      <c r="B88" s="58" t="s">
        <v>881</v>
      </c>
      <c r="C88" s="72" t="s">
        <v>965</v>
      </c>
      <c r="D88" s="60" t="s">
        <v>1052</v>
      </c>
      <c r="E88" s="52" t="s">
        <v>1139</v>
      </c>
      <c r="F88" s="70"/>
      <c r="G88" s="70" t="s">
        <v>1226</v>
      </c>
      <c r="H88" s="47" t="s">
        <v>41</v>
      </c>
      <c r="I88" s="73" t="s">
        <v>50</v>
      </c>
      <c r="J88" s="70" t="s">
        <v>828</v>
      </c>
      <c r="K88" s="52" t="s">
        <v>90</v>
      </c>
      <c r="L88" s="74">
        <v>22</v>
      </c>
      <c r="M88" s="43">
        <v>0.62857142857142856</v>
      </c>
      <c r="N88" s="74">
        <v>5</v>
      </c>
      <c r="O88" s="44">
        <v>0.5</v>
      </c>
      <c r="P88" s="74">
        <v>21</v>
      </c>
      <c r="Q88" s="44">
        <v>0.7</v>
      </c>
      <c r="R88" s="74">
        <v>25</v>
      </c>
      <c r="S88" s="44">
        <v>1</v>
      </c>
      <c r="T88" s="74">
        <v>73</v>
      </c>
      <c r="U88" s="44">
        <v>0.73</v>
      </c>
      <c r="V88" s="52" t="s">
        <v>111</v>
      </c>
      <c r="W88" s="52" t="s">
        <v>823</v>
      </c>
      <c r="X88" s="46">
        <v>46011</v>
      </c>
      <c r="Y88" s="47" t="s">
        <v>1279</v>
      </c>
      <c r="Z88" s="71" t="s">
        <v>1280</v>
      </c>
    </row>
    <row r="89" spans="1:26" s="9" customFormat="1" x14ac:dyDescent="0.25">
      <c r="A89" s="10">
        <v>37</v>
      </c>
      <c r="B89" s="21" t="s">
        <v>1282</v>
      </c>
      <c r="C89" s="21" t="s">
        <v>1281</v>
      </c>
      <c r="D89" s="12" t="s">
        <v>1292</v>
      </c>
      <c r="E89" s="12" t="s">
        <v>1293</v>
      </c>
      <c r="F89" s="4"/>
      <c r="G89" s="4" t="s">
        <v>1294</v>
      </c>
      <c r="H89" s="4" t="s">
        <v>41</v>
      </c>
      <c r="I89" s="12" t="s">
        <v>50</v>
      </c>
      <c r="J89" s="4" t="s">
        <v>824</v>
      </c>
      <c r="K89" s="12" t="s">
        <v>108</v>
      </c>
      <c r="L89" s="29" t="s">
        <v>1307</v>
      </c>
      <c r="M89" s="66" t="s">
        <v>1307</v>
      </c>
      <c r="N89" s="29" t="s">
        <v>1307</v>
      </c>
      <c r="O89" s="11" t="s">
        <v>1307</v>
      </c>
      <c r="P89" s="29" t="s">
        <v>1307</v>
      </c>
      <c r="Q89" s="11" t="s">
        <v>1307</v>
      </c>
      <c r="R89" s="29" t="s">
        <v>1307</v>
      </c>
      <c r="S89" s="11" t="s">
        <v>1307</v>
      </c>
      <c r="T89" s="29" t="s">
        <v>1307</v>
      </c>
      <c r="U89" s="11" t="s">
        <v>1307</v>
      </c>
      <c r="V89" s="12" t="s">
        <v>1307</v>
      </c>
      <c r="W89" s="12" t="s">
        <v>1307</v>
      </c>
      <c r="X89" s="35" t="s">
        <v>1307</v>
      </c>
      <c r="Y89" s="4" t="s">
        <v>1307</v>
      </c>
      <c r="Z89" s="13" t="s">
        <v>1307</v>
      </c>
    </row>
    <row r="90" spans="1:26" s="9" customFormat="1" x14ac:dyDescent="0.25">
      <c r="A90" s="10">
        <v>38</v>
      </c>
      <c r="B90" s="21" t="s">
        <v>1290</v>
      </c>
      <c r="C90" s="21" t="s">
        <v>1291</v>
      </c>
      <c r="D90" s="12" t="s">
        <v>1295</v>
      </c>
      <c r="E90" s="12" t="s">
        <v>1303</v>
      </c>
      <c r="F90" s="4"/>
      <c r="G90" s="4" t="s">
        <v>1299</v>
      </c>
      <c r="H90" s="4" t="s">
        <v>41</v>
      </c>
      <c r="I90" s="12" t="s">
        <v>1278</v>
      </c>
      <c r="J90" s="4" t="s">
        <v>45</v>
      </c>
      <c r="K90" s="12" t="s">
        <v>108</v>
      </c>
      <c r="L90" s="29" t="s">
        <v>1307</v>
      </c>
      <c r="M90" s="66" t="s">
        <v>1307</v>
      </c>
      <c r="N90" s="29" t="s">
        <v>1307</v>
      </c>
      <c r="O90" s="11" t="s">
        <v>1307</v>
      </c>
      <c r="P90" s="29" t="s">
        <v>1307</v>
      </c>
      <c r="Q90" s="11" t="s">
        <v>1307</v>
      </c>
      <c r="R90" s="29" t="s">
        <v>1307</v>
      </c>
      <c r="S90" s="11" t="s">
        <v>1307</v>
      </c>
      <c r="T90" s="29" t="s">
        <v>1307</v>
      </c>
      <c r="U90" s="11" t="s">
        <v>1307</v>
      </c>
      <c r="V90" s="12" t="s">
        <v>1307</v>
      </c>
      <c r="W90" s="12" t="s">
        <v>1307</v>
      </c>
      <c r="X90" s="35" t="s">
        <v>1307</v>
      </c>
      <c r="Y90" s="4" t="s">
        <v>1307</v>
      </c>
      <c r="Z90" s="13" t="s">
        <v>1307</v>
      </c>
    </row>
    <row r="91" spans="1:26" s="9" customFormat="1" x14ac:dyDescent="0.25">
      <c r="A91" s="10">
        <v>39</v>
      </c>
      <c r="B91" s="21" t="s">
        <v>1288</v>
      </c>
      <c r="C91" s="21" t="s">
        <v>1289</v>
      </c>
      <c r="D91" s="12" t="s">
        <v>1296</v>
      </c>
      <c r="E91" s="12" t="s">
        <v>1304</v>
      </c>
      <c r="F91" s="4"/>
      <c r="G91" s="4" t="s">
        <v>1300</v>
      </c>
      <c r="H91" s="4" t="s">
        <v>41</v>
      </c>
      <c r="I91" s="12" t="s">
        <v>50</v>
      </c>
      <c r="J91" s="4" t="s">
        <v>824</v>
      </c>
      <c r="K91" s="12" t="s">
        <v>108</v>
      </c>
      <c r="L91" s="29" t="s">
        <v>1307</v>
      </c>
      <c r="M91" s="66" t="s">
        <v>1307</v>
      </c>
      <c r="N91" s="29" t="s">
        <v>1307</v>
      </c>
      <c r="O91" s="11" t="s">
        <v>1307</v>
      </c>
      <c r="P91" s="29" t="s">
        <v>1307</v>
      </c>
      <c r="Q91" s="11" t="s">
        <v>1307</v>
      </c>
      <c r="R91" s="29" t="s">
        <v>1307</v>
      </c>
      <c r="S91" s="11" t="s">
        <v>1307</v>
      </c>
      <c r="T91" s="29" t="s">
        <v>1307</v>
      </c>
      <c r="U91" s="11" t="s">
        <v>1307</v>
      </c>
      <c r="V91" s="12" t="s">
        <v>1307</v>
      </c>
      <c r="W91" s="12" t="s">
        <v>1307</v>
      </c>
      <c r="X91" s="35" t="s">
        <v>1307</v>
      </c>
      <c r="Y91" s="4" t="s">
        <v>1307</v>
      </c>
      <c r="Z91" s="13" t="s">
        <v>1307</v>
      </c>
    </row>
    <row r="92" spans="1:26" s="9" customFormat="1" x14ac:dyDescent="0.25">
      <c r="A92" s="10">
        <v>40</v>
      </c>
      <c r="B92" s="21" t="s">
        <v>1286</v>
      </c>
      <c r="C92" s="21" t="s">
        <v>1287</v>
      </c>
      <c r="D92" s="12" t="s">
        <v>1297</v>
      </c>
      <c r="E92" s="12" t="s">
        <v>1305</v>
      </c>
      <c r="F92" s="4"/>
      <c r="G92" s="4" t="s">
        <v>1301</v>
      </c>
      <c r="H92" s="4" t="s">
        <v>41</v>
      </c>
      <c r="I92" s="12" t="s">
        <v>50</v>
      </c>
      <c r="J92" s="4" t="s">
        <v>828</v>
      </c>
      <c r="K92" s="12" t="s">
        <v>108</v>
      </c>
      <c r="L92" s="29" t="s">
        <v>1307</v>
      </c>
      <c r="M92" s="66" t="s">
        <v>1307</v>
      </c>
      <c r="N92" s="29" t="s">
        <v>1307</v>
      </c>
      <c r="O92" s="11" t="s">
        <v>1307</v>
      </c>
      <c r="P92" s="29" t="s">
        <v>1307</v>
      </c>
      <c r="Q92" s="11" t="s">
        <v>1307</v>
      </c>
      <c r="R92" s="29" t="s">
        <v>1307</v>
      </c>
      <c r="S92" s="11" t="s">
        <v>1307</v>
      </c>
      <c r="T92" s="29" t="s">
        <v>1307</v>
      </c>
      <c r="U92" s="11" t="s">
        <v>1307</v>
      </c>
      <c r="V92" s="12" t="s">
        <v>1307</v>
      </c>
      <c r="W92" s="12" t="s">
        <v>1307</v>
      </c>
      <c r="X92" s="35" t="s">
        <v>1307</v>
      </c>
      <c r="Y92" s="4" t="s">
        <v>1307</v>
      </c>
      <c r="Z92" s="13" t="s">
        <v>1307</v>
      </c>
    </row>
    <row r="93" spans="1:26" s="9" customFormat="1" x14ac:dyDescent="0.25">
      <c r="A93" s="10">
        <v>41</v>
      </c>
      <c r="B93" s="21" t="s">
        <v>838</v>
      </c>
      <c r="C93" s="21" t="s">
        <v>839</v>
      </c>
      <c r="D93" s="12" t="s">
        <v>834</v>
      </c>
      <c r="E93" s="12" t="s">
        <v>831</v>
      </c>
      <c r="F93" s="4"/>
      <c r="G93" s="4" t="s">
        <v>842</v>
      </c>
      <c r="H93" s="4" t="s">
        <v>41</v>
      </c>
      <c r="I93" s="12" t="s">
        <v>50</v>
      </c>
      <c r="J93" s="4" t="s">
        <v>828</v>
      </c>
      <c r="K93" s="12" t="s">
        <v>108</v>
      </c>
      <c r="L93" s="29" t="s">
        <v>1307</v>
      </c>
      <c r="M93" s="66" t="s">
        <v>1307</v>
      </c>
      <c r="N93" s="29" t="s">
        <v>1307</v>
      </c>
      <c r="O93" s="11" t="s">
        <v>1307</v>
      </c>
      <c r="P93" s="29" t="s">
        <v>1307</v>
      </c>
      <c r="Q93" s="11" t="s">
        <v>1307</v>
      </c>
      <c r="R93" s="29" t="s">
        <v>1307</v>
      </c>
      <c r="S93" s="11" t="s">
        <v>1307</v>
      </c>
      <c r="T93" s="29" t="s">
        <v>1307</v>
      </c>
      <c r="U93" s="11" t="s">
        <v>1307</v>
      </c>
      <c r="V93" s="12" t="s">
        <v>1307</v>
      </c>
      <c r="W93" s="12" t="s">
        <v>1307</v>
      </c>
      <c r="X93" s="35" t="s">
        <v>1307</v>
      </c>
      <c r="Y93" s="4" t="s">
        <v>1307</v>
      </c>
      <c r="Z93" s="13" t="s">
        <v>1307</v>
      </c>
    </row>
    <row r="94" spans="1:26" s="9" customFormat="1" x14ac:dyDescent="0.25">
      <c r="A94" s="10"/>
      <c r="B94" s="61"/>
      <c r="C94" s="61"/>
      <c r="F94" s="10"/>
      <c r="G94" s="10"/>
      <c r="H94" s="10"/>
      <c r="J94" s="10"/>
      <c r="L94"/>
      <c r="M94" s="62"/>
      <c r="N94"/>
      <c r="O94" s="63"/>
      <c r="P94"/>
      <c r="Q94" s="63"/>
      <c r="R94"/>
      <c r="S94" s="63"/>
      <c r="T94"/>
      <c r="U94" s="63"/>
      <c r="X94" s="65"/>
      <c r="Y94" s="10"/>
      <c r="Z94" s="64"/>
    </row>
    <row r="95" spans="1:26" s="9" customFormat="1" x14ac:dyDescent="0.25">
      <c r="A95" s="10"/>
      <c r="B95" s="61"/>
      <c r="C95" s="61"/>
      <c r="F95" s="10"/>
      <c r="G95" s="10"/>
      <c r="H95" s="10"/>
      <c r="J95" s="10"/>
      <c r="L95"/>
      <c r="M95" s="62"/>
      <c r="N95"/>
      <c r="O95" s="63"/>
      <c r="P95"/>
      <c r="Q95" s="63"/>
      <c r="R95"/>
      <c r="S95" s="63"/>
      <c r="T95"/>
      <c r="U95" s="63"/>
      <c r="X95" s="65"/>
      <c r="Y95" s="10"/>
      <c r="Z95" s="64"/>
    </row>
    <row r="97" spans="1:26" s="54" customFormat="1" ht="47.25" customHeight="1" x14ac:dyDescent="0.25">
      <c r="A97" s="54" t="s">
        <v>0</v>
      </c>
      <c r="B97" s="54" t="s">
        <v>92</v>
      </c>
      <c r="C97" s="54" t="s">
        <v>91</v>
      </c>
      <c r="D97" s="54" t="s">
        <v>3</v>
      </c>
      <c r="E97" s="54" t="s">
        <v>95</v>
      </c>
      <c r="F97" s="54" t="s">
        <v>93</v>
      </c>
      <c r="G97" s="54" t="s">
        <v>94</v>
      </c>
      <c r="H97" s="54" t="s">
        <v>76</v>
      </c>
      <c r="I97" s="54" t="s">
        <v>4</v>
      </c>
      <c r="J97" s="54" t="s">
        <v>5</v>
      </c>
      <c r="K97" s="54" t="s">
        <v>6</v>
      </c>
      <c r="L97" s="54" t="s">
        <v>78</v>
      </c>
      <c r="M97" s="54" t="s">
        <v>8</v>
      </c>
      <c r="N97" s="54" t="s">
        <v>79</v>
      </c>
      <c r="O97" s="54" t="s">
        <v>8</v>
      </c>
      <c r="P97" s="54" t="s">
        <v>80</v>
      </c>
      <c r="Q97" s="54" t="s">
        <v>8</v>
      </c>
      <c r="R97" s="54" t="s">
        <v>81</v>
      </c>
      <c r="S97" s="54" t="s">
        <v>8</v>
      </c>
      <c r="T97" s="54" t="s">
        <v>82</v>
      </c>
      <c r="U97" s="54" t="s">
        <v>8</v>
      </c>
      <c r="V97" s="54" t="s">
        <v>83</v>
      </c>
      <c r="W97" s="54" t="s">
        <v>84</v>
      </c>
      <c r="X97" s="54" t="s">
        <v>85</v>
      </c>
      <c r="Y97" s="54" t="s">
        <v>86</v>
      </c>
      <c r="Z97" s="54" t="s">
        <v>87</v>
      </c>
    </row>
    <row r="98" spans="1:26" x14ac:dyDescent="0.25">
      <c r="A98" s="40">
        <v>1</v>
      </c>
      <c r="B98" s="23" t="s">
        <v>894</v>
      </c>
      <c r="C98" s="27" t="s">
        <v>980</v>
      </c>
      <c r="D98" s="12" t="s">
        <v>1067</v>
      </c>
      <c r="E98" s="24" t="s">
        <v>1154</v>
      </c>
      <c r="F98" s="4"/>
      <c r="G98" s="4" t="s">
        <v>1241</v>
      </c>
      <c r="H98" s="31" t="s">
        <v>38</v>
      </c>
      <c r="I98" s="12" t="s">
        <v>826</v>
      </c>
      <c r="J98" s="32" t="s">
        <v>824</v>
      </c>
      <c r="K98" s="12" t="s">
        <v>90</v>
      </c>
      <c r="L98" s="12">
        <v>14</v>
      </c>
      <c r="M98" s="34">
        <v>0.56000000000000005</v>
      </c>
      <c r="N98" s="12">
        <v>9</v>
      </c>
      <c r="O98" s="33">
        <v>0.9</v>
      </c>
      <c r="P98" s="12">
        <v>21</v>
      </c>
      <c r="Q98" s="33">
        <v>0.42</v>
      </c>
      <c r="R98" s="12">
        <v>12</v>
      </c>
      <c r="S98" s="33">
        <v>0.8</v>
      </c>
      <c r="T98" s="12">
        <v>56</v>
      </c>
      <c r="U98" s="33">
        <v>0.56000000000000005</v>
      </c>
      <c r="V98" s="13" t="s">
        <v>111</v>
      </c>
      <c r="W98" s="13" t="s">
        <v>823</v>
      </c>
      <c r="X98" s="35">
        <v>46011</v>
      </c>
      <c r="Y98" s="22" t="s">
        <v>1279</v>
      </c>
      <c r="Z98" s="36" t="s">
        <v>844</v>
      </c>
    </row>
    <row r="99" spans="1:26" x14ac:dyDescent="0.25">
      <c r="A99" s="40">
        <v>2</v>
      </c>
      <c r="B99" s="23" t="s">
        <v>895</v>
      </c>
      <c r="C99" s="27" t="s">
        <v>981</v>
      </c>
      <c r="D99" s="12" t="s">
        <v>1068</v>
      </c>
      <c r="E99" s="24" t="s">
        <v>1155</v>
      </c>
      <c r="F99" s="4"/>
      <c r="G99" s="4" t="s">
        <v>1242</v>
      </c>
      <c r="H99" s="31" t="s">
        <v>38</v>
      </c>
      <c r="I99" s="12" t="s">
        <v>826</v>
      </c>
      <c r="J99" s="32" t="s">
        <v>824</v>
      </c>
      <c r="K99" s="12" t="s">
        <v>90</v>
      </c>
      <c r="L99" s="12">
        <v>11</v>
      </c>
      <c r="M99" s="34">
        <v>0.44</v>
      </c>
      <c r="N99" s="12">
        <v>6</v>
      </c>
      <c r="O99" s="33">
        <v>0.6</v>
      </c>
      <c r="P99" s="12">
        <v>36</v>
      </c>
      <c r="Q99" s="33">
        <v>0.72</v>
      </c>
      <c r="R99" s="12">
        <v>13</v>
      </c>
      <c r="S99" s="33">
        <v>0.8666666666666667</v>
      </c>
      <c r="T99" s="12">
        <v>66</v>
      </c>
      <c r="U99" s="33">
        <v>0.66</v>
      </c>
      <c r="V99" s="13" t="s">
        <v>111</v>
      </c>
      <c r="W99" s="13" t="s">
        <v>823</v>
      </c>
      <c r="X99" s="35">
        <v>46011</v>
      </c>
      <c r="Y99" s="22" t="s">
        <v>1279</v>
      </c>
      <c r="Z99" s="36" t="s">
        <v>844</v>
      </c>
    </row>
    <row r="100" spans="1:26" x14ac:dyDescent="0.25">
      <c r="A100" s="40">
        <v>3</v>
      </c>
      <c r="B100" s="23" t="s">
        <v>896</v>
      </c>
      <c r="C100" s="27" t="s">
        <v>982</v>
      </c>
      <c r="D100" s="12" t="s">
        <v>1069</v>
      </c>
      <c r="E100" s="24" t="s">
        <v>1156</v>
      </c>
      <c r="F100" s="4"/>
      <c r="G100" s="4" t="s">
        <v>1243</v>
      </c>
      <c r="H100" s="31" t="s">
        <v>38</v>
      </c>
      <c r="I100" s="12" t="s">
        <v>826</v>
      </c>
      <c r="J100" s="32" t="s">
        <v>824</v>
      </c>
      <c r="K100" s="12" t="s">
        <v>90</v>
      </c>
      <c r="L100" s="12">
        <v>6</v>
      </c>
      <c r="M100" s="34">
        <v>0.24</v>
      </c>
      <c r="N100" s="12">
        <v>3</v>
      </c>
      <c r="O100" s="33">
        <v>0.3</v>
      </c>
      <c r="P100" s="12">
        <v>40</v>
      </c>
      <c r="Q100" s="33">
        <v>0.8</v>
      </c>
      <c r="R100" s="12">
        <v>12</v>
      </c>
      <c r="S100" s="33">
        <v>0.8</v>
      </c>
      <c r="T100" s="12">
        <v>61</v>
      </c>
      <c r="U100" s="33">
        <v>0.61</v>
      </c>
      <c r="V100" s="13" t="s">
        <v>111</v>
      </c>
      <c r="W100" s="13" t="s">
        <v>823</v>
      </c>
      <c r="X100" s="35">
        <v>46011</v>
      </c>
      <c r="Y100" s="22" t="s">
        <v>1279</v>
      </c>
      <c r="Z100" s="36" t="s">
        <v>844</v>
      </c>
    </row>
    <row r="101" spans="1:26" x14ac:dyDescent="0.25">
      <c r="A101" s="70">
        <v>4</v>
      </c>
      <c r="B101" s="58" t="s">
        <v>897</v>
      </c>
      <c r="C101" s="59" t="s">
        <v>983</v>
      </c>
      <c r="D101" s="42" t="s">
        <v>1070</v>
      </c>
      <c r="E101" s="37" t="s">
        <v>1157</v>
      </c>
      <c r="F101" s="39"/>
      <c r="G101" s="39" t="s">
        <v>1244</v>
      </c>
      <c r="H101" s="60" t="s">
        <v>38</v>
      </c>
      <c r="I101" s="42" t="s">
        <v>826</v>
      </c>
      <c r="J101" s="41" t="s">
        <v>824</v>
      </c>
      <c r="K101" s="42" t="s">
        <v>90</v>
      </c>
      <c r="L101" s="42">
        <v>18</v>
      </c>
      <c r="M101" s="43">
        <v>0.72</v>
      </c>
      <c r="N101" s="42">
        <v>9</v>
      </c>
      <c r="O101" s="44">
        <v>0.9</v>
      </c>
      <c r="P101" s="42">
        <v>41</v>
      </c>
      <c r="Q101" s="44">
        <v>0.82</v>
      </c>
      <c r="R101" s="42">
        <v>12</v>
      </c>
      <c r="S101" s="44">
        <v>0.8</v>
      </c>
      <c r="T101" s="42">
        <v>80</v>
      </c>
      <c r="U101" s="44">
        <v>0.8</v>
      </c>
      <c r="V101" s="45" t="s">
        <v>111</v>
      </c>
      <c r="W101" s="45" t="s">
        <v>823</v>
      </c>
      <c r="X101" s="46">
        <v>46011</v>
      </c>
      <c r="Y101" s="47" t="s">
        <v>1279</v>
      </c>
      <c r="Z101" s="71" t="s">
        <v>844</v>
      </c>
    </row>
    <row r="102" spans="1:26" x14ac:dyDescent="0.25">
      <c r="A102" s="4">
        <v>5</v>
      </c>
      <c r="B102" s="21" t="s">
        <v>835</v>
      </c>
      <c r="C102" s="21" t="s">
        <v>1283</v>
      </c>
      <c r="D102" s="12" t="s">
        <v>832</v>
      </c>
      <c r="E102" s="12" t="s">
        <v>829</v>
      </c>
      <c r="F102" s="12"/>
      <c r="G102" s="12" t="s">
        <v>840</v>
      </c>
      <c r="H102" s="12" t="s">
        <v>38</v>
      </c>
      <c r="I102" s="12" t="s">
        <v>826</v>
      </c>
      <c r="J102" s="12" t="s">
        <v>824</v>
      </c>
      <c r="K102" s="12" t="s">
        <v>108</v>
      </c>
      <c r="L102" s="12" t="s">
        <v>1307</v>
      </c>
      <c r="M102" s="12" t="s">
        <v>1307</v>
      </c>
      <c r="N102" s="12" t="s">
        <v>1307</v>
      </c>
      <c r="O102" s="12" t="s">
        <v>1307</v>
      </c>
      <c r="P102" s="12" t="s">
        <v>1307</v>
      </c>
      <c r="Q102" s="12" t="s">
        <v>1307</v>
      </c>
      <c r="R102" s="12" t="s">
        <v>1307</v>
      </c>
      <c r="S102" s="12" t="s">
        <v>1307</v>
      </c>
      <c r="T102" s="12" t="s">
        <v>1307</v>
      </c>
      <c r="U102" s="12" t="s">
        <v>1307</v>
      </c>
      <c r="V102" s="12" t="s">
        <v>1307</v>
      </c>
      <c r="W102" s="12" t="s">
        <v>1307</v>
      </c>
      <c r="X102" s="12" t="s">
        <v>1307</v>
      </c>
      <c r="Y102" s="12" t="s">
        <v>1307</v>
      </c>
      <c r="Z102" s="12" t="s">
        <v>1307</v>
      </c>
    </row>
  </sheetData>
  <phoneticPr fontId="3" type="noConversion"/>
  <conditionalFormatting sqref="D2:D3">
    <cfRule type="duplicateValues" dxfId="23" priority="128"/>
  </conditionalFormatting>
  <conditionalFormatting sqref="D53:D66">
    <cfRule type="duplicateValues" dxfId="22" priority="5"/>
  </conditionalFormatting>
  <conditionalFormatting sqref="M2:M50 O2:O50 Q2:Q50 S2:S50 U2:U50">
    <cfRule type="cellIs" dxfId="21" priority="64" operator="lessThanOrEqual">
      <formula>0.5</formula>
    </cfRule>
    <cfRule type="cellIs" dxfId="20" priority="65" operator="greaterThan">
      <formula>0.5</formula>
    </cfRule>
  </conditionalFormatting>
  <conditionalFormatting sqref="M53:M95 O53:O95 Q53:Q95 S53:S95 U53:U95">
    <cfRule type="cellIs" dxfId="19" priority="3" operator="lessThanOrEqual">
      <formula>0.5</formula>
    </cfRule>
    <cfRule type="cellIs" dxfId="18" priority="4" operator="greaterThan">
      <formula>0.5</formula>
    </cfRule>
  </conditionalFormatting>
  <conditionalFormatting sqref="M98:M101 O98:O101 Q98:Q101 S98:S101 U98:U101">
    <cfRule type="cellIs" dxfId="17" priority="1" operator="lessThanOrEqual">
      <formula>0.5</formula>
    </cfRule>
    <cfRule type="cellIs" dxfId="16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37DE-8505-46BC-8662-5FC63B1257A0}">
  <dimension ref="A1:AA122"/>
  <sheetViews>
    <sheetView tabSelected="1" topLeftCell="J1" zoomScale="85" zoomScaleNormal="85" workbookViewId="0">
      <selection activeCell="Z6" sqref="Z6"/>
    </sheetView>
  </sheetViews>
  <sheetFormatPr baseColWidth="10" defaultColWidth="11.5703125" defaultRowHeight="15" x14ac:dyDescent="0.25"/>
  <cols>
    <col min="1" max="1" width="4.7109375" bestFit="1" customWidth="1"/>
    <col min="2" max="2" width="29.28515625" style="61" bestFit="1" customWidth="1"/>
    <col min="3" max="3" width="26.140625" style="61" customWidth="1"/>
    <col min="4" max="5" width="23.140625" customWidth="1"/>
    <col min="6" max="6" width="21.42578125" customWidth="1"/>
    <col min="7" max="7" width="44.7109375" bestFit="1" customWidth="1"/>
    <col min="8" max="8" width="17" bestFit="1" customWidth="1"/>
    <col min="9" max="9" width="36.28515625" customWidth="1"/>
    <col min="10" max="10" width="25.140625" customWidth="1"/>
    <col min="11" max="11" width="16.5703125" bestFit="1" customWidth="1"/>
    <col min="12" max="12" width="16.28515625" bestFit="1" customWidth="1"/>
    <col min="13" max="13" width="11.28515625" bestFit="1" customWidth="1"/>
    <col min="14" max="14" width="19.28515625" customWidth="1"/>
    <col min="15" max="15" width="9.5703125" customWidth="1"/>
    <col min="16" max="16" width="18.85546875" bestFit="1" customWidth="1"/>
    <col min="17" max="17" width="11.140625" customWidth="1"/>
    <col min="18" max="18" width="13.28515625" bestFit="1" customWidth="1"/>
    <col min="19" max="19" width="8.42578125" customWidth="1"/>
    <col min="20" max="20" width="13.5703125" customWidth="1"/>
    <col min="21" max="21" width="7.7109375" customWidth="1"/>
    <col min="22" max="22" width="12.42578125" customWidth="1"/>
    <col min="23" max="23" width="16.28515625" customWidth="1"/>
    <col min="24" max="24" width="12.5703125" bestFit="1" customWidth="1"/>
    <col min="25" max="25" width="12.7109375" customWidth="1"/>
    <col min="26" max="26" width="64.140625" bestFit="1" customWidth="1"/>
  </cols>
  <sheetData>
    <row r="1" spans="1:27" s="9" customFormat="1" ht="57.6" customHeight="1" x14ac:dyDescent="0.25">
      <c r="A1" s="2" t="s">
        <v>0</v>
      </c>
      <c r="B1" s="20" t="s">
        <v>92</v>
      </c>
      <c r="C1" s="25" t="s">
        <v>91</v>
      </c>
      <c r="D1" s="1" t="s">
        <v>3</v>
      </c>
      <c r="E1" s="28" t="s">
        <v>95</v>
      </c>
      <c r="F1" s="2" t="s">
        <v>93</v>
      </c>
      <c r="G1" s="2" t="s">
        <v>94</v>
      </c>
      <c r="H1" s="30" t="s">
        <v>76</v>
      </c>
      <c r="I1" s="1" t="s">
        <v>4</v>
      </c>
      <c r="J1" s="28" t="s">
        <v>5</v>
      </c>
      <c r="K1" s="8" t="s">
        <v>6</v>
      </c>
      <c r="L1" s="2" t="s">
        <v>89</v>
      </c>
      <c r="M1" s="2" t="s">
        <v>8</v>
      </c>
      <c r="N1" s="2" t="s">
        <v>9</v>
      </c>
      <c r="O1" s="2" t="s">
        <v>8</v>
      </c>
      <c r="P1" s="2" t="s">
        <v>10</v>
      </c>
      <c r="Q1" s="2" t="s">
        <v>8</v>
      </c>
      <c r="R1" s="2" t="s">
        <v>843</v>
      </c>
      <c r="S1" s="2" t="s">
        <v>8</v>
      </c>
      <c r="T1" s="2" t="s">
        <v>82</v>
      </c>
      <c r="U1" s="5" t="s">
        <v>8</v>
      </c>
      <c r="V1" s="6" t="s">
        <v>83</v>
      </c>
      <c r="W1" s="6" t="s">
        <v>84</v>
      </c>
      <c r="X1" s="6" t="s">
        <v>85</v>
      </c>
      <c r="Y1" s="6" t="s">
        <v>86</v>
      </c>
      <c r="Z1" s="6" t="s">
        <v>87</v>
      </c>
    </row>
    <row r="2" spans="1:27" s="9" customFormat="1" x14ac:dyDescent="0.25">
      <c r="A2" s="22">
        <v>1</v>
      </c>
      <c r="B2" s="21" t="s">
        <v>846</v>
      </c>
      <c r="C2" s="26" t="s">
        <v>930</v>
      </c>
      <c r="D2" s="4" t="s">
        <v>1017</v>
      </c>
      <c r="E2" s="24" t="s">
        <v>1104</v>
      </c>
      <c r="F2" s="4"/>
      <c r="G2" s="4" t="s">
        <v>1191</v>
      </c>
      <c r="H2" s="22" t="s">
        <v>41</v>
      </c>
      <c r="I2" s="4" t="s">
        <v>825</v>
      </c>
      <c r="J2" s="24" t="s">
        <v>824</v>
      </c>
      <c r="K2" s="4" t="s">
        <v>90</v>
      </c>
      <c r="L2" s="4">
        <v>15</v>
      </c>
      <c r="M2" s="34">
        <v>0.42857142857142849</v>
      </c>
      <c r="N2" s="4">
        <v>5</v>
      </c>
      <c r="O2" s="33">
        <v>0.5</v>
      </c>
      <c r="P2" s="4">
        <v>12</v>
      </c>
      <c r="Q2" s="33">
        <v>0.4</v>
      </c>
      <c r="R2" s="4">
        <v>15</v>
      </c>
      <c r="S2" s="33">
        <v>0.6</v>
      </c>
      <c r="T2" s="4">
        <v>47</v>
      </c>
      <c r="U2" s="33">
        <v>0.47</v>
      </c>
      <c r="V2" s="13" t="s">
        <v>111</v>
      </c>
      <c r="W2" s="13" t="s">
        <v>823</v>
      </c>
      <c r="X2" s="14">
        <v>46011</v>
      </c>
      <c r="Y2" s="13" t="s">
        <v>1279</v>
      </c>
      <c r="Z2" s="13" t="s">
        <v>1280</v>
      </c>
      <c r="AA2"/>
    </row>
    <row r="3" spans="1:27" s="9" customFormat="1" x14ac:dyDescent="0.25">
      <c r="A3" s="22">
        <v>2</v>
      </c>
      <c r="B3" s="21" t="s">
        <v>847</v>
      </c>
      <c r="C3" s="26" t="s">
        <v>931</v>
      </c>
      <c r="D3" s="4" t="s">
        <v>1018</v>
      </c>
      <c r="E3" s="24" t="s">
        <v>1105</v>
      </c>
      <c r="F3" s="4"/>
      <c r="G3" s="4" t="s">
        <v>1192</v>
      </c>
      <c r="H3" s="22" t="s">
        <v>41</v>
      </c>
      <c r="I3" s="4" t="s">
        <v>825</v>
      </c>
      <c r="J3" s="24" t="s">
        <v>828</v>
      </c>
      <c r="K3" s="4" t="s">
        <v>90</v>
      </c>
      <c r="L3" s="4">
        <v>22</v>
      </c>
      <c r="M3" s="34">
        <v>0.62857142857142856</v>
      </c>
      <c r="N3" s="4">
        <v>9</v>
      </c>
      <c r="O3" s="33">
        <v>0.9</v>
      </c>
      <c r="P3" s="4">
        <v>25</v>
      </c>
      <c r="Q3" s="33">
        <v>0.83333333333333337</v>
      </c>
      <c r="R3" s="4">
        <v>22</v>
      </c>
      <c r="S3" s="33">
        <v>0.88</v>
      </c>
      <c r="T3" s="4">
        <v>78</v>
      </c>
      <c r="U3" s="33">
        <v>0.78</v>
      </c>
      <c r="V3" s="13" t="s">
        <v>111</v>
      </c>
      <c r="W3" s="13" t="s">
        <v>823</v>
      </c>
      <c r="X3" s="14">
        <v>46011</v>
      </c>
      <c r="Y3" s="11" t="s">
        <v>1279</v>
      </c>
      <c r="Z3" s="13" t="s">
        <v>1280</v>
      </c>
      <c r="AA3"/>
    </row>
    <row r="4" spans="1:27" s="9" customFormat="1" x14ac:dyDescent="0.25">
      <c r="A4" s="22">
        <v>3</v>
      </c>
      <c r="B4" s="21" t="s">
        <v>848</v>
      </c>
      <c r="C4" s="26" t="s">
        <v>932</v>
      </c>
      <c r="D4" s="4" t="s">
        <v>1019</v>
      </c>
      <c r="E4" s="24" t="s">
        <v>1106</v>
      </c>
      <c r="F4" s="4"/>
      <c r="G4" s="4" t="s">
        <v>1193</v>
      </c>
      <c r="H4" s="22" t="s">
        <v>41</v>
      </c>
      <c r="I4" s="4" t="s">
        <v>825</v>
      </c>
      <c r="J4" s="24" t="s">
        <v>824</v>
      </c>
      <c r="K4" s="4" t="s">
        <v>90</v>
      </c>
      <c r="L4" s="4">
        <v>18</v>
      </c>
      <c r="M4" s="34">
        <v>0.51428571428571423</v>
      </c>
      <c r="N4" s="4">
        <v>5</v>
      </c>
      <c r="O4" s="33">
        <v>0.5</v>
      </c>
      <c r="P4" s="4">
        <v>8</v>
      </c>
      <c r="Q4" s="33">
        <v>0.26666666666666672</v>
      </c>
      <c r="R4" s="4">
        <v>5</v>
      </c>
      <c r="S4" s="33">
        <v>0.2</v>
      </c>
      <c r="T4" s="4">
        <v>36</v>
      </c>
      <c r="U4" s="33">
        <v>0.36</v>
      </c>
      <c r="V4" s="13" t="s">
        <v>111</v>
      </c>
      <c r="W4" s="13" t="s">
        <v>823</v>
      </c>
      <c r="X4" s="14">
        <v>46011</v>
      </c>
      <c r="Y4" s="11" t="s">
        <v>1279</v>
      </c>
      <c r="Z4" s="13" t="s">
        <v>1280</v>
      </c>
      <c r="AA4"/>
    </row>
    <row r="5" spans="1:27" s="9" customFormat="1" x14ac:dyDescent="0.25">
      <c r="A5" s="22">
        <v>4</v>
      </c>
      <c r="B5" s="21" t="s">
        <v>849</v>
      </c>
      <c r="C5" s="26" t="s">
        <v>933</v>
      </c>
      <c r="D5" s="4" t="s">
        <v>1020</v>
      </c>
      <c r="E5" s="24" t="s">
        <v>1107</v>
      </c>
      <c r="F5" s="4"/>
      <c r="G5" s="4" t="s">
        <v>1194</v>
      </c>
      <c r="H5" s="22" t="s">
        <v>41</v>
      </c>
      <c r="I5" s="4" t="s">
        <v>825</v>
      </c>
      <c r="J5" s="24" t="s">
        <v>828</v>
      </c>
      <c r="K5" s="4" t="s">
        <v>90</v>
      </c>
      <c r="L5" s="4">
        <v>26</v>
      </c>
      <c r="M5" s="34">
        <v>0.74285714285714288</v>
      </c>
      <c r="N5" s="4">
        <v>7</v>
      </c>
      <c r="O5" s="33">
        <v>0.7</v>
      </c>
      <c r="P5" s="4">
        <v>16</v>
      </c>
      <c r="Q5" s="33">
        <v>0.53333333333333333</v>
      </c>
      <c r="R5" s="4">
        <v>22</v>
      </c>
      <c r="S5" s="33">
        <v>0.88</v>
      </c>
      <c r="T5" s="4">
        <v>71</v>
      </c>
      <c r="U5" s="33">
        <v>0.71</v>
      </c>
      <c r="V5" s="13" t="s">
        <v>111</v>
      </c>
      <c r="W5" s="13" t="s">
        <v>823</v>
      </c>
      <c r="X5" s="14">
        <v>46011</v>
      </c>
      <c r="Y5" s="11" t="s">
        <v>1279</v>
      </c>
      <c r="Z5" s="13" t="s">
        <v>1280</v>
      </c>
      <c r="AA5"/>
    </row>
    <row r="6" spans="1:27" s="9" customFormat="1" x14ac:dyDescent="0.25">
      <c r="A6" s="22">
        <v>5</v>
      </c>
      <c r="B6" s="17" t="s">
        <v>850</v>
      </c>
      <c r="C6" s="27" t="s">
        <v>934</v>
      </c>
      <c r="D6" s="4" t="s">
        <v>1021</v>
      </c>
      <c r="E6" s="24" t="s">
        <v>1108</v>
      </c>
      <c r="F6" s="4"/>
      <c r="G6" s="4" t="s">
        <v>1195</v>
      </c>
      <c r="H6" s="22" t="s">
        <v>41</v>
      </c>
      <c r="I6" s="4" t="s">
        <v>825</v>
      </c>
      <c r="J6" s="24" t="s">
        <v>828</v>
      </c>
      <c r="K6" s="4" t="s">
        <v>90</v>
      </c>
      <c r="L6" s="4">
        <v>23</v>
      </c>
      <c r="M6" s="34">
        <v>0.65714285714285714</v>
      </c>
      <c r="N6" s="4">
        <v>9</v>
      </c>
      <c r="O6" s="33">
        <v>0.9</v>
      </c>
      <c r="P6" s="4">
        <v>22</v>
      </c>
      <c r="Q6" s="33">
        <v>0.73333333333333328</v>
      </c>
      <c r="R6" s="4">
        <v>18</v>
      </c>
      <c r="S6" s="33">
        <v>0.72</v>
      </c>
      <c r="T6" s="4">
        <v>72</v>
      </c>
      <c r="U6" s="33">
        <v>0.72</v>
      </c>
      <c r="V6" s="13" t="s">
        <v>111</v>
      </c>
      <c r="W6" s="13" t="s">
        <v>823</v>
      </c>
      <c r="X6" s="14">
        <v>46011</v>
      </c>
      <c r="Y6" s="11" t="s">
        <v>1279</v>
      </c>
      <c r="Z6" s="13" t="s">
        <v>1280</v>
      </c>
      <c r="AA6"/>
    </row>
    <row r="7" spans="1:27" s="9" customFormat="1" x14ac:dyDescent="0.25">
      <c r="A7" s="22">
        <v>6</v>
      </c>
      <c r="B7" s="21" t="s">
        <v>851</v>
      </c>
      <c r="C7" s="26" t="s">
        <v>935</v>
      </c>
      <c r="D7" s="4" t="s">
        <v>1022</v>
      </c>
      <c r="E7" s="24" t="s">
        <v>1109</v>
      </c>
      <c r="F7" s="4"/>
      <c r="G7" s="4" t="s">
        <v>1196</v>
      </c>
      <c r="H7" s="22" t="s">
        <v>41</v>
      </c>
      <c r="I7" s="4" t="s">
        <v>825</v>
      </c>
      <c r="J7" s="24" t="s">
        <v>828</v>
      </c>
      <c r="K7" s="4" t="s">
        <v>90</v>
      </c>
      <c r="L7" s="4">
        <v>24</v>
      </c>
      <c r="M7" s="34">
        <v>0.68571428571428572</v>
      </c>
      <c r="N7" s="4">
        <v>9</v>
      </c>
      <c r="O7" s="33">
        <v>0.9</v>
      </c>
      <c r="P7" s="4">
        <v>24</v>
      </c>
      <c r="Q7" s="33">
        <v>0.8</v>
      </c>
      <c r="R7" s="4">
        <v>17</v>
      </c>
      <c r="S7" s="33">
        <v>0.68</v>
      </c>
      <c r="T7" s="4">
        <v>74</v>
      </c>
      <c r="U7" s="33">
        <v>0.74</v>
      </c>
      <c r="V7" s="13" t="s">
        <v>111</v>
      </c>
      <c r="W7" s="13" t="s">
        <v>823</v>
      </c>
      <c r="X7" s="14">
        <v>46011</v>
      </c>
      <c r="Y7" s="11" t="s">
        <v>1279</v>
      </c>
      <c r="Z7" s="13" t="s">
        <v>845</v>
      </c>
      <c r="AA7"/>
    </row>
    <row r="8" spans="1:27" s="9" customFormat="1" x14ac:dyDescent="0.25">
      <c r="A8" s="22">
        <v>7</v>
      </c>
      <c r="B8" s="21" t="s">
        <v>852</v>
      </c>
      <c r="C8" s="26" t="s">
        <v>936</v>
      </c>
      <c r="D8" s="4" t="s">
        <v>1023</v>
      </c>
      <c r="E8" s="24" t="s">
        <v>1110</v>
      </c>
      <c r="F8" s="4"/>
      <c r="G8" s="4" t="s">
        <v>1197</v>
      </c>
      <c r="H8" s="22" t="s">
        <v>41</v>
      </c>
      <c r="I8" s="4" t="s">
        <v>825</v>
      </c>
      <c r="J8" s="24" t="s">
        <v>828</v>
      </c>
      <c r="K8" s="4" t="s">
        <v>90</v>
      </c>
      <c r="L8" s="4">
        <v>27</v>
      </c>
      <c r="M8" s="34">
        <v>0.77142857142857146</v>
      </c>
      <c r="N8" s="4">
        <v>9</v>
      </c>
      <c r="O8" s="33">
        <v>0.9</v>
      </c>
      <c r="P8" s="4">
        <v>21</v>
      </c>
      <c r="Q8" s="33">
        <v>0.7</v>
      </c>
      <c r="R8" s="4">
        <v>21</v>
      </c>
      <c r="S8" s="33">
        <v>0.84</v>
      </c>
      <c r="T8" s="4">
        <v>78</v>
      </c>
      <c r="U8" s="33">
        <v>0.78</v>
      </c>
      <c r="V8" s="13" t="s">
        <v>111</v>
      </c>
      <c r="W8" s="13" t="s">
        <v>823</v>
      </c>
      <c r="X8" s="14">
        <v>46011</v>
      </c>
      <c r="Y8" s="11" t="s">
        <v>1279</v>
      </c>
      <c r="Z8" s="13" t="s">
        <v>845</v>
      </c>
      <c r="AA8"/>
    </row>
    <row r="9" spans="1:27" s="9" customFormat="1" x14ac:dyDescent="0.25">
      <c r="A9" s="22">
        <v>8</v>
      </c>
      <c r="B9" s="21" t="s">
        <v>853</v>
      </c>
      <c r="C9" s="26" t="s">
        <v>937</v>
      </c>
      <c r="D9" s="4" t="s">
        <v>1024</v>
      </c>
      <c r="E9" s="24" t="s">
        <v>1111</v>
      </c>
      <c r="F9" s="4"/>
      <c r="G9" s="4" t="s">
        <v>1198</v>
      </c>
      <c r="H9" s="22" t="s">
        <v>41</v>
      </c>
      <c r="I9" s="4" t="s">
        <v>825</v>
      </c>
      <c r="J9" s="24" t="s">
        <v>828</v>
      </c>
      <c r="K9" s="4" t="s">
        <v>90</v>
      </c>
      <c r="L9" s="4">
        <v>25</v>
      </c>
      <c r="M9" s="34">
        <v>0.7142857142857143</v>
      </c>
      <c r="N9" s="4">
        <v>8</v>
      </c>
      <c r="O9" s="33">
        <v>0.8</v>
      </c>
      <c r="P9" s="4">
        <v>27</v>
      </c>
      <c r="Q9" s="33">
        <v>0.9</v>
      </c>
      <c r="R9" s="4">
        <v>20</v>
      </c>
      <c r="S9" s="33">
        <v>0.8</v>
      </c>
      <c r="T9" s="4">
        <v>80</v>
      </c>
      <c r="U9" s="33">
        <v>0.8</v>
      </c>
      <c r="V9" s="13" t="s">
        <v>111</v>
      </c>
      <c r="W9" s="13" t="s">
        <v>823</v>
      </c>
      <c r="X9" s="14">
        <v>46011</v>
      </c>
      <c r="Y9" s="11" t="s">
        <v>1279</v>
      </c>
      <c r="Z9" s="13" t="s">
        <v>845</v>
      </c>
      <c r="AA9"/>
    </row>
    <row r="10" spans="1:27" s="9" customFormat="1" x14ac:dyDescent="0.25">
      <c r="A10" s="22">
        <v>9</v>
      </c>
      <c r="B10" s="21" t="s">
        <v>854</v>
      </c>
      <c r="C10" s="26" t="s">
        <v>938</v>
      </c>
      <c r="D10" s="4" t="s">
        <v>1025</v>
      </c>
      <c r="E10" s="24" t="s">
        <v>1112</v>
      </c>
      <c r="F10" s="4"/>
      <c r="G10" s="4" t="s">
        <v>1199</v>
      </c>
      <c r="H10" s="22" t="s">
        <v>41</v>
      </c>
      <c r="I10" s="4" t="s">
        <v>825</v>
      </c>
      <c r="J10" s="24" t="s">
        <v>828</v>
      </c>
      <c r="K10" s="4" t="s">
        <v>90</v>
      </c>
      <c r="L10" s="4">
        <v>23</v>
      </c>
      <c r="M10" s="34">
        <v>0.65714285714285714</v>
      </c>
      <c r="N10" s="4">
        <v>7</v>
      </c>
      <c r="O10" s="33">
        <v>0.7</v>
      </c>
      <c r="P10" s="4">
        <v>20</v>
      </c>
      <c r="Q10" s="33">
        <v>0.66666666666666663</v>
      </c>
      <c r="R10" s="4">
        <v>15</v>
      </c>
      <c r="S10" s="33">
        <v>0.6</v>
      </c>
      <c r="T10" s="4">
        <v>65</v>
      </c>
      <c r="U10" s="33">
        <v>0.65</v>
      </c>
      <c r="V10" s="13" t="s">
        <v>111</v>
      </c>
      <c r="W10" s="13" t="s">
        <v>823</v>
      </c>
      <c r="X10" s="14">
        <v>46011</v>
      </c>
      <c r="Y10" s="11" t="s">
        <v>1279</v>
      </c>
      <c r="Z10" s="13" t="s">
        <v>1280</v>
      </c>
      <c r="AA10"/>
    </row>
    <row r="11" spans="1:27" s="9" customFormat="1" x14ac:dyDescent="0.25">
      <c r="A11" s="22">
        <v>10</v>
      </c>
      <c r="B11" s="21" t="s">
        <v>855</v>
      </c>
      <c r="C11" s="26" t="s">
        <v>939</v>
      </c>
      <c r="D11" s="4" t="s">
        <v>1026</v>
      </c>
      <c r="E11" s="24" t="s">
        <v>1113</v>
      </c>
      <c r="F11" s="4"/>
      <c r="G11" s="4" t="s">
        <v>1200</v>
      </c>
      <c r="H11" s="22" t="s">
        <v>41</v>
      </c>
      <c r="I11" s="4" t="s">
        <v>825</v>
      </c>
      <c r="J11" s="24" t="s">
        <v>828</v>
      </c>
      <c r="K11" s="4" t="s">
        <v>90</v>
      </c>
      <c r="L11" s="4">
        <v>13</v>
      </c>
      <c r="M11" s="34">
        <v>0.37142857142857139</v>
      </c>
      <c r="N11" s="4">
        <v>6</v>
      </c>
      <c r="O11" s="33">
        <v>0.6</v>
      </c>
      <c r="P11" s="4">
        <v>12</v>
      </c>
      <c r="Q11" s="33">
        <v>0.4</v>
      </c>
      <c r="R11" s="4">
        <v>7.0000000000000009</v>
      </c>
      <c r="S11" s="33">
        <v>0.28000000000000003</v>
      </c>
      <c r="T11" s="4">
        <v>38</v>
      </c>
      <c r="U11" s="33">
        <v>0.38</v>
      </c>
      <c r="V11" s="13" t="s">
        <v>111</v>
      </c>
      <c r="W11" s="13" t="s">
        <v>823</v>
      </c>
      <c r="X11" s="14">
        <v>46011</v>
      </c>
      <c r="Y11" s="11" t="s">
        <v>1279</v>
      </c>
      <c r="Z11" s="13" t="s">
        <v>845</v>
      </c>
      <c r="AA11"/>
    </row>
    <row r="12" spans="1:27" s="9" customFormat="1" x14ac:dyDescent="0.25">
      <c r="A12" s="22">
        <v>11</v>
      </c>
      <c r="B12" s="21" t="s">
        <v>856</v>
      </c>
      <c r="C12" s="26" t="s">
        <v>940</v>
      </c>
      <c r="D12" s="4" t="s">
        <v>1027</v>
      </c>
      <c r="E12" s="24" t="s">
        <v>1114</v>
      </c>
      <c r="F12" s="4"/>
      <c r="G12" s="4" t="s">
        <v>1201</v>
      </c>
      <c r="H12" s="22" t="s">
        <v>41</v>
      </c>
      <c r="I12" s="4" t="s">
        <v>825</v>
      </c>
      <c r="J12" s="24" t="s">
        <v>828</v>
      </c>
      <c r="K12" s="4" t="s">
        <v>90</v>
      </c>
      <c r="L12" s="4">
        <v>23</v>
      </c>
      <c r="M12" s="34">
        <v>0.65714285714285714</v>
      </c>
      <c r="N12" s="4">
        <v>9</v>
      </c>
      <c r="O12" s="33">
        <v>0.9</v>
      </c>
      <c r="P12" s="4">
        <v>19</v>
      </c>
      <c r="Q12" s="33">
        <v>0.6333333333333333</v>
      </c>
      <c r="R12" s="4">
        <v>13</v>
      </c>
      <c r="S12" s="33">
        <v>0.52</v>
      </c>
      <c r="T12" s="4">
        <v>64</v>
      </c>
      <c r="U12" s="33">
        <v>0.64</v>
      </c>
      <c r="V12" s="13" t="s">
        <v>111</v>
      </c>
      <c r="W12" s="13" t="s">
        <v>823</v>
      </c>
      <c r="X12" s="14">
        <v>46011</v>
      </c>
      <c r="Y12" s="11" t="s">
        <v>1279</v>
      </c>
      <c r="Z12" s="13" t="s">
        <v>845</v>
      </c>
      <c r="AA12"/>
    </row>
    <row r="13" spans="1:27" s="9" customFormat="1" x14ac:dyDescent="0.25">
      <c r="A13" s="22">
        <v>12</v>
      </c>
      <c r="B13" s="21" t="s">
        <v>857</v>
      </c>
      <c r="C13" s="26" t="s">
        <v>941</v>
      </c>
      <c r="D13" s="4" t="s">
        <v>1028</v>
      </c>
      <c r="E13" s="24" t="s">
        <v>1115</v>
      </c>
      <c r="F13" s="4"/>
      <c r="G13" s="4" t="s">
        <v>1202</v>
      </c>
      <c r="H13" s="22" t="s">
        <v>41</v>
      </c>
      <c r="I13" s="4" t="s">
        <v>825</v>
      </c>
      <c r="J13" s="24" t="s">
        <v>828</v>
      </c>
      <c r="K13" s="4" t="s">
        <v>90</v>
      </c>
      <c r="L13" s="4">
        <v>7</v>
      </c>
      <c r="M13" s="34">
        <v>0.2</v>
      </c>
      <c r="N13" s="4">
        <v>4</v>
      </c>
      <c r="O13" s="33">
        <v>0.4</v>
      </c>
      <c r="P13" s="4">
        <v>10</v>
      </c>
      <c r="Q13" s="33">
        <v>0.33333333333333331</v>
      </c>
      <c r="R13" s="4">
        <v>10</v>
      </c>
      <c r="S13" s="33">
        <v>0.4</v>
      </c>
      <c r="T13" s="4">
        <v>31</v>
      </c>
      <c r="U13" s="33">
        <v>0.31</v>
      </c>
      <c r="V13" s="13" t="s">
        <v>111</v>
      </c>
      <c r="W13" s="13" t="s">
        <v>823</v>
      </c>
      <c r="X13" s="14">
        <v>46011</v>
      </c>
      <c r="Y13" s="11" t="s">
        <v>1279</v>
      </c>
      <c r="Z13" s="13" t="s">
        <v>845</v>
      </c>
      <c r="AA13"/>
    </row>
    <row r="14" spans="1:27" s="9" customFormat="1" x14ac:dyDescent="0.25">
      <c r="A14" s="22">
        <v>13</v>
      </c>
      <c r="B14" s="21" t="s">
        <v>858</v>
      </c>
      <c r="C14" s="26" t="s">
        <v>942</v>
      </c>
      <c r="D14" s="4" t="s">
        <v>1029</v>
      </c>
      <c r="E14" s="24" t="s">
        <v>1116</v>
      </c>
      <c r="F14" s="4"/>
      <c r="G14" s="4" t="s">
        <v>1203</v>
      </c>
      <c r="H14" s="22" t="s">
        <v>41</v>
      </c>
      <c r="I14" s="4" t="s">
        <v>825</v>
      </c>
      <c r="J14" s="24" t="s">
        <v>828</v>
      </c>
      <c r="K14" s="4" t="s">
        <v>90</v>
      </c>
      <c r="L14" s="4">
        <v>19</v>
      </c>
      <c r="M14" s="34">
        <v>0.54285714285714282</v>
      </c>
      <c r="N14" s="4">
        <v>8</v>
      </c>
      <c r="O14" s="33">
        <v>0.8</v>
      </c>
      <c r="P14" s="4">
        <v>16</v>
      </c>
      <c r="Q14" s="33">
        <v>0.53333333333333333</v>
      </c>
      <c r="R14" s="4">
        <v>18</v>
      </c>
      <c r="S14" s="33">
        <v>0.72</v>
      </c>
      <c r="T14" s="4">
        <v>61</v>
      </c>
      <c r="U14" s="33">
        <v>0.61</v>
      </c>
      <c r="V14" s="13" t="s">
        <v>111</v>
      </c>
      <c r="W14" s="13" t="s">
        <v>823</v>
      </c>
      <c r="X14" s="14">
        <v>46011</v>
      </c>
      <c r="Y14" s="11" t="s">
        <v>1279</v>
      </c>
      <c r="Z14" s="13" t="s">
        <v>1280</v>
      </c>
      <c r="AA14"/>
    </row>
    <row r="15" spans="1:27" s="9" customFormat="1" x14ac:dyDescent="0.25">
      <c r="A15" s="22">
        <v>14</v>
      </c>
      <c r="B15" s="21" t="s">
        <v>859</v>
      </c>
      <c r="C15" s="26" t="s">
        <v>943</v>
      </c>
      <c r="D15" s="4" t="s">
        <v>1030</v>
      </c>
      <c r="E15" s="24" t="s">
        <v>1117</v>
      </c>
      <c r="F15" s="4"/>
      <c r="G15" s="4" t="s">
        <v>1204</v>
      </c>
      <c r="H15" s="22" t="s">
        <v>41</v>
      </c>
      <c r="I15" s="4" t="s">
        <v>825</v>
      </c>
      <c r="J15" s="24" t="s">
        <v>828</v>
      </c>
      <c r="K15" s="4" t="s">
        <v>90</v>
      </c>
      <c r="L15" s="4">
        <v>19</v>
      </c>
      <c r="M15" s="34">
        <v>0.54285714285714282</v>
      </c>
      <c r="N15" s="4">
        <v>7</v>
      </c>
      <c r="O15" s="33">
        <v>0.7</v>
      </c>
      <c r="P15" s="4">
        <v>21</v>
      </c>
      <c r="Q15" s="33">
        <v>0.7</v>
      </c>
      <c r="R15" s="4">
        <v>17</v>
      </c>
      <c r="S15" s="33">
        <v>0.68</v>
      </c>
      <c r="T15" s="4">
        <v>64</v>
      </c>
      <c r="U15" s="33">
        <v>0.64</v>
      </c>
      <c r="V15" s="13" t="s">
        <v>111</v>
      </c>
      <c r="W15" s="13" t="s">
        <v>823</v>
      </c>
      <c r="X15" s="14">
        <v>46011</v>
      </c>
      <c r="Y15" s="11" t="s">
        <v>1279</v>
      </c>
      <c r="Z15" s="13" t="s">
        <v>845</v>
      </c>
      <c r="AA15"/>
    </row>
    <row r="16" spans="1:27" x14ac:dyDescent="0.25">
      <c r="A16" s="22">
        <v>15</v>
      </c>
      <c r="B16" s="23" t="s">
        <v>860</v>
      </c>
      <c r="C16" s="27" t="s">
        <v>944</v>
      </c>
      <c r="D16" s="12" t="s">
        <v>1031</v>
      </c>
      <c r="E16" s="24" t="s">
        <v>1118</v>
      </c>
      <c r="F16" s="4"/>
      <c r="G16" s="4" t="s">
        <v>1205</v>
      </c>
      <c r="H16" s="22" t="s">
        <v>41</v>
      </c>
      <c r="I16" s="12" t="s">
        <v>825</v>
      </c>
      <c r="J16" s="32" t="s">
        <v>828</v>
      </c>
      <c r="K16" s="12" t="s">
        <v>90</v>
      </c>
      <c r="L16" s="12">
        <v>25</v>
      </c>
      <c r="M16" s="34">
        <v>0.7142857142857143</v>
      </c>
      <c r="N16" s="12">
        <v>9</v>
      </c>
      <c r="O16" s="33">
        <v>0.9</v>
      </c>
      <c r="P16" s="12">
        <v>27</v>
      </c>
      <c r="Q16" s="33">
        <v>0.9</v>
      </c>
      <c r="R16" s="12">
        <v>21</v>
      </c>
      <c r="S16" s="33">
        <v>0.84</v>
      </c>
      <c r="T16" s="12">
        <v>82</v>
      </c>
      <c r="U16" s="33">
        <v>0.82</v>
      </c>
      <c r="V16" s="13" t="s">
        <v>111</v>
      </c>
      <c r="W16" s="13" t="s">
        <v>823</v>
      </c>
      <c r="X16" s="35">
        <v>46011</v>
      </c>
      <c r="Y16" s="22" t="s">
        <v>1279</v>
      </c>
      <c r="Z16" s="13" t="s">
        <v>1280</v>
      </c>
    </row>
    <row r="17" spans="1:26" x14ac:dyDescent="0.25">
      <c r="A17" s="22">
        <v>16</v>
      </c>
      <c r="B17" s="23" t="s">
        <v>861</v>
      </c>
      <c r="C17" s="27" t="s">
        <v>945</v>
      </c>
      <c r="D17" s="12" t="s">
        <v>1032</v>
      </c>
      <c r="E17" s="24" t="s">
        <v>1119</v>
      </c>
      <c r="F17" s="4"/>
      <c r="G17" s="4" t="s">
        <v>1206</v>
      </c>
      <c r="H17" s="22" t="s">
        <v>41</v>
      </c>
      <c r="I17" s="12" t="s">
        <v>1278</v>
      </c>
      <c r="J17" s="32" t="s">
        <v>45</v>
      </c>
      <c r="K17" s="12" t="s">
        <v>90</v>
      </c>
      <c r="L17" s="12">
        <v>17</v>
      </c>
      <c r="M17" s="34">
        <v>0.48571428571428571</v>
      </c>
      <c r="N17" s="12">
        <v>5</v>
      </c>
      <c r="O17" s="33">
        <v>0.5</v>
      </c>
      <c r="P17" s="12">
        <v>7</v>
      </c>
      <c r="Q17" s="33">
        <v>0.23333333333333331</v>
      </c>
      <c r="R17" s="12">
        <v>12</v>
      </c>
      <c r="S17" s="33">
        <v>0.48</v>
      </c>
      <c r="T17" s="12">
        <v>41</v>
      </c>
      <c r="U17" s="33">
        <v>0.41</v>
      </c>
      <c r="V17" s="13" t="s">
        <v>111</v>
      </c>
      <c r="W17" s="13" t="s">
        <v>823</v>
      </c>
      <c r="X17" s="35">
        <v>46011</v>
      </c>
      <c r="Y17" s="22" t="s">
        <v>1279</v>
      </c>
      <c r="Z17" s="13" t="s">
        <v>1280</v>
      </c>
    </row>
    <row r="18" spans="1:26" x14ac:dyDescent="0.25">
      <c r="A18" s="22">
        <v>17</v>
      </c>
      <c r="B18" s="23" t="s">
        <v>862</v>
      </c>
      <c r="C18" s="27" t="s">
        <v>946</v>
      </c>
      <c r="D18" s="12" t="s">
        <v>1033</v>
      </c>
      <c r="E18" s="24" t="s">
        <v>1120</v>
      </c>
      <c r="F18" s="4"/>
      <c r="G18" s="4" t="s">
        <v>1207</v>
      </c>
      <c r="H18" s="22" t="s">
        <v>41</v>
      </c>
      <c r="I18" s="12" t="s">
        <v>50</v>
      </c>
      <c r="J18" s="32" t="s">
        <v>824</v>
      </c>
      <c r="K18" s="12" t="s">
        <v>90</v>
      </c>
      <c r="L18" s="12">
        <v>16</v>
      </c>
      <c r="M18" s="34">
        <v>0.45714285714285707</v>
      </c>
      <c r="N18" s="12">
        <v>5</v>
      </c>
      <c r="O18" s="33">
        <v>0.5</v>
      </c>
      <c r="P18" s="12">
        <v>10</v>
      </c>
      <c r="Q18" s="33">
        <v>0.33333333333333331</v>
      </c>
      <c r="R18" s="12">
        <v>7.0000000000000009</v>
      </c>
      <c r="S18" s="33">
        <v>0.28000000000000003</v>
      </c>
      <c r="T18" s="12">
        <v>38</v>
      </c>
      <c r="U18" s="33">
        <v>0.38</v>
      </c>
      <c r="V18" s="13" t="s">
        <v>111</v>
      </c>
      <c r="W18" s="13" t="s">
        <v>823</v>
      </c>
      <c r="X18" s="35">
        <v>46011</v>
      </c>
      <c r="Y18" s="22" t="s">
        <v>1279</v>
      </c>
      <c r="Z18" s="13" t="s">
        <v>1280</v>
      </c>
    </row>
    <row r="19" spans="1:26" x14ac:dyDescent="0.25">
      <c r="A19" s="22">
        <v>18</v>
      </c>
      <c r="B19" s="23" t="s">
        <v>863</v>
      </c>
      <c r="C19" s="27" t="s">
        <v>947</v>
      </c>
      <c r="D19" s="12" t="s">
        <v>1034</v>
      </c>
      <c r="E19" s="24" t="s">
        <v>1121</v>
      </c>
      <c r="F19" s="4"/>
      <c r="G19" s="4" t="s">
        <v>1208</v>
      </c>
      <c r="H19" s="22" t="s">
        <v>41</v>
      </c>
      <c r="I19" s="12" t="s">
        <v>50</v>
      </c>
      <c r="J19" s="32" t="s">
        <v>824</v>
      </c>
      <c r="K19" s="12" t="s">
        <v>90</v>
      </c>
      <c r="L19" s="12">
        <v>17</v>
      </c>
      <c r="M19" s="34">
        <v>0.48571428571428571</v>
      </c>
      <c r="N19" s="12">
        <v>8</v>
      </c>
      <c r="O19" s="33">
        <v>0.8</v>
      </c>
      <c r="P19" s="12">
        <v>14</v>
      </c>
      <c r="Q19" s="33">
        <v>0.46666666666666667</v>
      </c>
      <c r="R19" s="12">
        <v>15</v>
      </c>
      <c r="S19" s="33">
        <v>0.6</v>
      </c>
      <c r="T19" s="12">
        <v>54</v>
      </c>
      <c r="U19" s="33">
        <v>0.54</v>
      </c>
      <c r="V19" s="13" t="s">
        <v>111</v>
      </c>
      <c r="W19" s="13" t="s">
        <v>823</v>
      </c>
      <c r="X19" s="35">
        <v>46011</v>
      </c>
      <c r="Y19" s="22" t="s">
        <v>1279</v>
      </c>
      <c r="Z19" s="13" t="s">
        <v>1280</v>
      </c>
    </row>
    <row r="20" spans="1:26" x14ac:dyDescent="0.25">
      <c r="A20" s="22">
        <v>19</v>
      </c>
      <c r="B20" s="23" t="s">
        <v>864</v>
      </c>
      <c r="C20" s="27" t="s">
        <v>948</v>
      </c>
      <c r="D20" s="12" t="s">
        <v>1035</v>
      </c>
      <c r="E20" s="24" t="s">
        <v>1122</v>
      </c>
      <c r="F20" s="4"/>
      <c r="G20" s="4" t="s">
        <v>1209</v>
      </c>
      <c r="H20" s="22" t="s">
        <v>41</v>
      </c>
      <c r="I20" s="12" t="s">
        <v>50</v>
      </c>
      <c r="J20" s="32" t="s">
        <v>824</v>
      </c>
      <c r="K20" s="12" t="s">
        <v>90</v>
      </c>
      <c r="L20" s="12">
        <v>14</v>
      </c>
      <c r="M20" s="34">
        <v>0.4</v>
      </c>
      <c r="N20" s="12">
        <v>0</v>
      </c>
      <c r="O20" s="33">
        <v>0</v>
      </c>
      <c r="P20" s="12">
        <v>6</v>
      </c>
      <c r="Q20" s="33">
        <v>0.2</v>
      </c>
      <c r="R20" s="12">
        <v>0</v>
      </c>
      <c r="S20" s="33">
        <v>0</v>
      </c>
      <c r="T20" s="12">
        <v>20</v>
      </c>
      <c r="U20" s="33">
        <v>0.2</v>
      </c>
      <c r="V20" s="13" t="s">
        <v>111</v>
      </c>
      <c r="W20" s="13" t="s">
        <v>823</v>
      </c>
      <c r="X20" s="35">
        <v>46011</v>
      </c>
      <c r="Y20" s="22" t="s">
        <v>1279</v>
      </c>
      <c r="Z20" s="13" t="s">
        <v>1280</v>
      </c>
    </row>
    <row r="21" spans="1:26" x14ac:dyDescent="0.25">
      <c r="A21" s="22">
        <v>20</v>
      </c>
      <c r="B21" s="23" t="s">
        <v>865</v>
      </c>
      <c r="C21" s="27" t="s">
        <v>949</v>
      </c>
      <c r="D21" s="12" t="s">
        <v>1036</v>
      </c>
      <c r="E21" s="24" t="s">
        <v>1123</v>
      </c>
      <c r="F21" s="4"/>
      <c r="G21" s="4" t="s">
        <v>1210</v>
      </c>
      <c r="H21" s="22" t="s">
        <v>41</v>
      </c>
      <c r="I21" s="12" t="s">
        <v>50</v>
      </c>
      <c r="J21" s="32" t="s">
        <v>824</v>
      </c>
      <c r="K21" s="12" t="s">
        <v>90</v>
      </c>
      <c r="L21" s="12">
        <v>12</v>
      </c>
      <c r="M21" s="34">
        <v>0.34285714285714292</v>
      </c>
      <c r="N21" s="12">
        <v>6</v>
      </c>
      <c r="O21" s="33">
        <v>0.6</v>
      </c>
      <c r="P21" s="12">
        <v>9</v>
      </c>
      <c r="Q21" s="33">
        <v>0.3</v>
      </c>
      <c r="R21" s="12">
        <v>8</v>
      </c>
      <c r="S21" s="33">
        <v>0.32</v>
      </c>
      <c r="T21" s="12">
        <v>35</v>
      </c>
      <c r="U21" s="33">
        <v>0.35</v>
      </c>
      <c r="V21" s="13" t="s">
        <v>111</v>
      </c>
      <c r="W21" s="13" t="s">
        <v>823</v>
      </c>
      <c r="X21" s="35">
        <v>46011</v>
      </c>
      <c r="Y21" s="22" t="s">
        <v>1279</v>
      </c>
      <c r="Z21" s="13" t="s">
        <v>1280</v>
      </c>
    </row>
    <row r="22" spans="1:26" x14ac:dyDescent="0.25">
      <c r="A22" s="22">
        <v>21</v>
      </c>
      <c r="B22" s="23" t="s">
        <v>866</v>
      </c>
      <c r="C22" s="27" t="s">
        <v>950</v>
      </c>
      <c r="D22" s="12" t="s">
        <v>1037</v>
      </c>
      <c r="E22" s="24" t="s">
        <v>1124</v>
      </c>
      <c r="F22" s="4"/>
      <c r="G22" s="4" t="s">
        <v>1211</v>
      </c>
      <c r="H22" s="22" t="s">
        <v>41</v>
      </c>
      <c r="I22" s="12" t="s">
        <v>50</v>
      </c>
      <c r="J22" s="32" t="s">
        <v>824</v>
      </c>
      <c r="K22" s="12" t="s">
        <v>90</v>
      </c>
      <c r="L22" s="12">
        <v>25</v>
      </c>
      <c r="M22" s="34">
        <v>0.7142857142857143</v>
      </c>
      <c r="N22" s="12">
        <v>9</v>
      </c>
      <c r="O22" s="33">
        <v>0.9</v>
      </c>
      <c r="P22" s="12">
        <v>28</v>
      </c>
      <c r="Q22" s="33">
        <v>0.93333333333333335</v>
      </c>
      <c r="R22" s="12">
        <v>17</v>
      </c>
      <c r="S22" s="33">
        <v>0.68</v>
      </c>
      <c r="T22" s="12">
        <v>79</v>
      </c>
      <c r="U22" s="33">
        <v>0.79</v>
      </c>
      <c r="V22" s="13" t="s">
        <v>111</v>
      </c>
      <c r="W22" s="13" t="s">
        <v>823</v>
      </c>
      <c r="X22" s="35">
        <v>46011</v>
      </c>
      <c r="Y22" s="22" t="s">
        <v>1279</v>
      </c>
      <c r="Z22" s="13" t="s">
        <v>1280</v>
      </c>
    </row>
    <row r="23" spans="1:26" x14ac:dyDescent="0.25">
      <c r="A23" s="22">
        <v>22</v>
      </c>
      <c r="B23" s="23" t="s">
        <v>867</v>
      </c>
      <c r="C23" s="27" t="s">
        <v>951</v>
      </c>
      <c r="D23" s="12" t="s">
        <v>1038</v>
      </c>
      <c r="E23" s="24" t="s">
        <v>1125</v>
      </c>
      <c r="F23" s="4"/>
      <c r="G23" s="4" t="s">
        <v>1212</v>
      </c>
      <c r="H23" s="22" t="s">
        <v>41</v>
      </c>
      <c r="I23" s="12" t="s">
        <v>50</v>
      </c>
      <c r="J23" s="32" t="s">
        <v>824</v>
      </c>
      <c r="K23" s="12" t="s">
        <v>90</v>
      </c>
      <c r="L23" s="12">
        <v>19</v>
      </c>
      <c r="M23" s="34">
        <v>0.54285714285714282</v>
      </c>
      <c r="N23" s="12">
        <v>5</v>
      </c>
      <c r="O23" s="33">
        <v>0.5</v>
      </c>
      <c r="P23" s="12">
        <v>19</v>
      </c>
      <c r="Q23" s="33">
        <v>0.6333333333333333</v>
      </c>
      <c r="R23" s="12">
        <v>15</v>
      </c>
      <c r="S23" s="33">
        <v>0.6</v>
      </c>
      <c r="T23" s="12">
        <v>58</v>
      </c>
      <c r="U23" s="33">
        <v>0.57999999999999996</v>
      </c>
      <c r="V23" s="13" t="s">
        <v>111</v>
      </c>
      <c r="W23" s="13" t="s">
        <v>823</v>
      </c>
      <c r="X23" s="35">
        <v>46011</v>
      </c>
      <c r="Y23" s="22" t="s">
        <v>1279</v>
      </c>
      <c r="Z23" s="13" t="s">
        <v>1280</v>
      </c>
    </row>
    <row r="24" spans="1:26" x14ac:dyDescent="0.25">
      <c r="A24" s="22">
        <v>23</v>
      </c>
      <c r="B24" s="23" t="s">
        <v>868</v>
      </c>
      <c r="C24" s="27" t="s">
        <v>952</v>
      </c>
      <c r="D24" s="12" t="s">
        <v>1039</v>
      </c>
      <c r="E24" s="24" t="s">
        <v>1126</v>
      </c>
      <c r="F24" s="4"/>
      <c r="G24" s="4" t="s">
        <v>1213</v>
      </c>
      <c r="H24" s="22" t="s">
        <v>41</v>
      </c>
      <c r="I24" s="12" t="s">
        <v>50</v>
      </c>
      <c r="J24" s="32" t="s">
        <v>828</v>
      </c>
      <c r="K24" s="12" t="s">
        <v>90</v>
      </c>
      <c r="L24" s="12">
        <v>26</v>
      </c>
      <c r="M24" s="34">
        <v>0.74285714285714288</v>
      </c>
      <c r="N24" s="12">
        <v>3</v>
      </c>
      <c r="O24" s="33">
        <v>0.3</v>
      </c>
      <c r="P24" s="12">
        <v>21</v>
      </c>
      <c r="Q24" s="33">
        <v>0.7</v>
      </c>
      <c r="R24" s="12">
        <v>14</v>
      </c>
      <c r="S24" s="33">
        <v>0.56000000000000005</v>
      </c>
      <c r="T24" s="12">
        <v>64</v>
      </c>
      <c r="U24" s="33">
        <v>0.64</v>
      </c>
      <c r="V24" s="13" t="s">
        <v>111</v>
      </c>
      <c r="W24" s="13" t="s">
        <v>823</v>
      </c>
      <c r="X24" s="35">
        <v>46011</v>
      </c>
      <c r="Y24" s="22" t="s">
        <v>1279</v>
      </c>
      <c r="Z24" s="13" t="s">
        <v>1280</v>
      </c>
    </row>
    <row r="25" spans="1:26" x14ac:dyDescent="0.25">
      <c r="A25" s="22">
        <v>24</v>
      </c>
      <c r="B25" s="23" t="s">
        <v>869</v>
      </c>
      <c r="C25" s="27" t="s">
        <v>953</v>
      </c>
      <c r="D25" s="12" t="s">
        <v>1040</v>
      </c>
      <c r="E25" s="24" t="s">
        <v>1127</v>
      </c>
      <c r="F25" s="4"/>
      <c r="G25" s="4" t="s">
        <v>1214</v>
      </c>
      <c r="H25" s="22" t="s">
        <v>41</v>
      </c>
      <c r="I25" s="12" t="s">
        <v>50</v>
      </c>
      <c r="J25" s="32" t="s">
        <v>828</v>
      </c>
      <c r="K25" s="12" t="s">
        <v>90</v>
      </c>
      <c r="L25" s="12">
        <v>25</v>
      </c>
      <c r="M25" s="34">
        <v>0.7142857142857143</v>
      </c>
      <c r="N25" s="12">
        <v>7</v>
      </c>
      <c r="O25" s="33">
        <v>0.7</v>
      </c>
      <c r="P25" s="12">
        <v>22</v>
      </c>
      <c r="Q25" s="33">
        <v>0.73333333333333328</v>
      </c>
      <c r="R25" s="12">
        <v>21</v>
      </c>
      <c r="S25" s="33">
        <v>0.84</v>
      </c>
      <c r="T25" s="12">
        <v>75</v>
      </c>
      <c r="U25" s="33">
        <v>0.75</v>
      </c>
      <c r="V25" s="13" t="s">
        <v>111</v>
      </c>
      <c r="W25" s="13" t="s">
        <v>823</v>
      </c>
      <c r="X25" s="35">
        <v>46011</v>
      </c>
      <c r="Y25" s="22" t="s">
        <v>1279</v>
      </c>
      <c r="Z25" s="13" t="s">
        <v>845</v>
      </c>
    </row>
    <row r="26" spans="1:26" x14ac:dyDescent="0.25">
      <c r="A26" s="22">
        <v>25</v>
      </c>
      <c r="B26" s="23" t="s">
        <v>870</v>
      </c>
      <c r="C26" s="27" t="s">
        <v>954</v>
      </c>
      <c r="D26" s="12" t="s">
        <v>1041</v>
      </c>
      <c r="E26" s="24" t="s">
        <v>1128</v>
      </c>
      <c r="F26" s="4"/>
      <c r="G26" s="4" t="s">
        <v>1215</v>
      </c>
      <c r="H26" s="22" t="s">
        <v>41</v>
      </c>
      <c r="I26" s="12" t="s">
        <v>50</v>
      </c>
      <c r="J26" s="32" t="s">
        <v>828</v>
      </c>
      <c r="K26" s="12" t="s">
        <v>90</v>
      </c>
      <c r="L26" s="12">
        <v>13</v>
      </c>
      <c r="M26" s="34">
        <v>0.37142857142857139</v>
      </c>
      <c r="N26" s="12">
        <v>6</v>
      </c>
      <c r="O26" s="33">
        <v>0.6</v>
      </c>
      <c r="P26" s="12">
        <v>11</v>
      </c>
      <c r="Q26" s="33">
        <v>0.36666666666666659</v>
      </c>
      <c r="R26" s="12">
        <v>12</v>
      </c>
      <c r="S26" s="33">
        <v>0.48</v>
      </c>
      <c r="T26" s="12">
        <v>42</v>
      </c>
      <c r="U26" s="33">
        <v>0.42</v>
      </c>
      <c r="V26" s="13" t="s">
        <v>111</v>
      </c>
      <c r="W26" s="13" t="s">
        <v>823</v>
      </c>
      <c r="X26" s="35">
        <v>46011</v>
      </c>
      <c r="Y26" s="22" t="s">
        <v>1279</v>
      </c>
      <c r="Z26" s="13" t="s">
        <v>1280</v>
      </c>
    </row>
    <row r="27" spans="1:26" x14ac:dyDescent="0.25">
      <c r="A27" s="22">
        <v>26</v>
      </c>
      <c r="B27" s="23" t="s">
        <v>871</v>
      </c>
      <c r="C27" s="27" t="s">
        <v>955</v>
      </c>
      <c r="D27" s="12" t="s">
        <v>1042</v>
      </c>
      <c r="E27" s="24" t="s">
        <v>1129</v>
      </c>
      <c r="F27" s="4"/>
      <c r="G27" s="4" t="s">
        <v>1216</v>
      </c>
      <c r="H27" s="22" t="s">
        <v>41</v>
      </c>
      <c r="I27" s="12" t="s">
        <v>50</v>
      </c>
      <c r="J27" s="32" t="s">
        <v>828</v>
      </c>
      <c r="K27" s="12" t="s">
        <v>90</v>
      </c>
      <c r="L27" s="12">
        <v>24</v>
      </c>
      <c r="M27" s="34">
        <v>0.68571428571428572</v>
      </c>
      <c r="N27" s="12">
        <v>9</v>
      </c>
      <c r="O27" s="33">
        <v>0.9</v>
      </c>
      <c r="P27" s="12">
        <v>20</v>
      </c>
      <c r="Q27" s="33">
        <v>0.66666666666666663</v>
      </c>
      <c r="R27" s="12">
        <v>11</v>
      </c>
      <c r="S27" s="33">
        <v>0.44</v>
      </c>
      <c r="T27" s="12">
        <v>64</v>
      </c>
      <c r="U27" s="33">
        <v>0.64</v>
      </c>
      <c r="V27" s="13" t="s">
        <v>111</v>
      </c>
      <c r="W27" s="13" t="s">
        <v>823</v>
      </c>
      <c r="X27" s="35">
        <v>46011</v>
      </c>
      <c r="Y27" s="22" t="s">
        <v>1279</v>
      </c>
      <c r="Z27" s="13" t="s">
        <v>1280</v>
      </c>
    </row>
    <row r="28" spans="1:26" x14ac:dyDescent="0.25">
      <c r="A28" s="22">
        <v>27</v>
      </c>
      <c r="B28" s="23" t="s">
        <v>872</v>
      </c>
      <c r="C28" s="27" t="s">
        <v>956</v>
      </c>
      <c r="D28" s="12" t="s">
        <v>1043</v>
      </c>
      <c r="E28" s="24" t="s">
        <v>1130</v>
      </c>
      <c r="F28" s="4"/>
      <c r="G28" s="4" t="s">
        <v>1217</v>
      </c>
      <c r="H28" s="22" t="s">
        <v>41</v>
      </c>
      <c r="I28" s="12" t="s">
        <v>50</v>
      </c>
      <c r="J28" s="32" t="s">
        <v>828</v>
      </c>
      <c r="K28" s="12" t="s">
        <v>90</v>
      </c>
      <c r="L28" s="12">
        <v>23</v>
      </c>
      <c r="M28" s="34">
        <v>0.65714285714285714</v>
      </c>
      <c r="N28" s="12">
        <v>8</v>
      </c>
      <c r="O28" s="33">
        <v>0.8</v>
      </c>
      <c r="P28" s="12">
        <v>17</v>
      </c>
      <c r="Q28" s="33">
        <v>0.56666666666666665</v>
      </c>
      <c r="R28" s="12">
        <v>18</v>
      </c>
      <c r="S28" s="33">
        <v>0.72</v>
      </c>
      <c r="T28" s="12">
        <v>66</v>
      </c>
      <c r="U28" s="33">
        <v>0.66</v>
      </c>
      <c r="V28" s="13" t="s">
        <v>111</v>
      </c>
      <c r="W28" s="13" t="s">
        <v>823</v>
      </c>
      <c r="X28" s="35">
        <v>46011</v>
      </c>
      <c r="Y28" s="22" t="s">
        <v>1279</v>
      </c>
      <c r="Z28" s="13" t="s">
        <v>1280</v>
      </c>
    </row>
    <row r="29" spans="1:26" x14ac:dyDescent="0.25">
      <c r="A29" s="22">
        <v>28</v>
      </c>
      <c r="B29" s="23" t="s">
        <v>873</v>
      </c>
      <c r="C29" s="27" t="s">
        <v>957</v>
      </c>
      <c r="D29" s="12" t="s">
        <v>1044</v>
      </c>
      <c r="E29" s="24" t="s">
        <v>1131</v>
      </c>
      <c r="F29" s="4"/>
      <c r="G29" s="4" t="s">
        <v>1218</v>
      </c>
      <c r="H29" s="22" t="s">
        <v>41</v>
      </c>
      <c r="I29" s="12" t="s">
        <v>50</v>
      </c>
      <c r="J29" s="32" t="s">
        <v>828</v>
      </c>
      <c r="K29" s="12" t="s">
        <v>90</v>
      </c>
      <c r="L29" s="12">
        <v>20</v>
      </c>
      <c r="M29" s="34">
        <v>0.5714285714285714</v>
      </c>
      <c r="N29" s="12">
        <v>9</v>
      </c>
      <c r="O29" s="33">
        <v>0.9</v>
      </c>
      <c r="P29" s="12">
        <v>14</v>
      </c>
      <c r="Q29" s="33">
        <v>0.46666666666666667</v>
      </c>
      <c r="R29" s="12">
        <v>16</v>
      </c>
      <c r="S29" s="33">
        <v>0.64</v>
      </c>
      <c r="T29" s="12">
        <v>59</v>
      </c>
      <c r="U29" s="33">
        <v>0.59</v>
      </c>
      <c r="V29" s="13" t="s">
        <v>111</v>
      </c>
      <c r="W29" s="13" t="s">
        <v>823</v>
      </c>
      <c r="X29" s="35">
        <v>46011</v>
      </c>
      <c r="Y29" s="22" t="s">
        <v>1279</v>
      </c>
      <c r="Z29" s="13" t="s">
        <v>1280</v>
      </c>
    </row>
    <row r="30" spans="1:26" x14ac:dyDescent="0.25">
      <c r="A30" s="22">
        <v>29</v>
      </c>
      <c r="B30" s="23" t="s">
        <v>874</v>
      </c>
      <c r="C30" s="27" t="s">
        <v>958</v>
      </c>
      <c r="D30" s="12" t="s">
        <v>1045</v>
      </c>
      <c r="E30" s="24" t="s">
        <v>1132</v>
      </c>
      <c r="F30" s="4"/>
      <c r="G30" s="4" t="s">
        <v>1219</v>
      </c>
      <c r="H30" s="22" t="s">
        <v>41</v>
      </c>
      <c r="I30" s="12" t="s">
        <v>50</v>
      </c>
      <c r="J30" s="32" t="s">
        <v>828</v>
      </c>
      <c r="K30" s="12" t="s">
        <v>90</v>
      </c>
      <c r="L30" s="12">
        <v>28</v>
      </c>
      <c r="M30" s="34">
        <v>0.8</v>
      </c>
      <c r="N30" s="12">
        <v>7</v>
      </c>
      <c r="O30" s="33">
        <v>0.7</v>
      </c>
      <c r="P30" s="12">
        <v>26</v>
      </c>
      <c r="Q30" s="33">
        <v>0.8666666666666667</v>
      </c>
      <c r="R30" s="12">
        <v>19</v>
      </c>
      <c r="S30" s="33">
        <v>0.76</v>
      </c>
      <c r="T30" s="12">
        <v>80</v>
      </c>
      <c r="U30" s="33">
        <v>0.8</v>
      </c>
      <c r="V30" s="13" t="s">
        <v>111</v>
      </c>
      <c r="W30" s="13" t="s">
        <v>823</v>
      </c>
      <c r="X30" s="35">
        <v>46011</v>
      </c>
      <c r="Y30" s="22" t="s">
        <v>1279</v>
      </c>
      <c r="Z30" s="13" t="s">
        <v>845</v>
      </c>
    </row>
    <row r="31" spans="1:26" x14ac:dyDescent="0.25">
      <c r="A31" s="22">
        <v>30</v>
      </c>
      <c r="B31" s="23" t="s">
        <v>875</v>
      </c>
      <c r="C31" s="27" t="s">
        <v>959</v>
      </c>
      <c r="D31" s="12" t="s">
        <v>1046</v>
      </c>
      <c r="E31" s="24" t="s">
        <v>1133</v>
      </c>
      <c r="F31" s="4"/>
      <c r="G31" s="4" t="s">
        <v>1220</v>
      </c>
      <c r="H31" s="22" t="s">
        <v>41</v>
      </c>
      <c r="I31" s="12" t="s">
        <v>50</v>
      </c>
      <c r="J31" s="32" t="s">
        <v>828</v>
      </c>
      <c r="K31" s="12" t="s">
        <v>90</v>
      </c>
      <c r="L31" s="12">
        <v>19</v>
      </c>
      <c r="M31" s="34">
        <v>0.54285714285714282</v>
      </c>
      <c r="N31" s="12">
        <v>6</v>
      </c>
      <c r="O31" s="33">
        <v>0.6</v>
      </c>
      <c r="P31" s="12">
        <v>21</v>
      </c>
      <c r="Q31" s="33">
        <v>0.7</v>
      </c>
      <c r="R31" s="12">
        <v>21</v>
      </c>
      <c r="S31" s="33">
        <v>0.84</v>
      </c>
      <c r="T31" s="12">
        <v>67</v>
      </c>
      <c r="U31" s="33">
        <v>0.67</v>
      </c>
      <c r="V31" s="13" t="s">
        <v>111</v>
      </c>
      <c r="W31" s="13" t="s">
        <v>823</v>
      </c>
      <c r="X31" s="35">
        <v>46011</v>
      </c>
      <c r="Y31" s="22" t="s">
        <v>1279</v>
      </c>
      <c r="Z31" s="13" t="s">
        <v>845</v>
      </c>
    </row>
    <row r="32" spans="1:26" x14ac:dyDescent="0.25">
      <c r="A32" s="22">
        <v>31</v>
      </c>
      <c r="B32" s="23" t="s">
        <v>876</v>
      </c>
      <c r="C32" s="27" t="s">
        <v>960</v>
      </c>
      <c r="D32" s="12" t="s">
        <v>1047</v>
      </c>
      <c r="E32" s="24" t="s">
        <v>1134</v>
      </c>
      <c r="F32" s="4"/>
      <c r="G32" s="4" t="s">
        <v>1221</v>
      </c>
      <c r="H32" s="22" t="s">
        <v>41</v>
      </c>
      <c r="I32" s="12" t="s">
        <v>50</v>
      </c>
      <c r="J32" s="32" t="s">
        <v>828</v>
      </c>
      <c r="K32" s="12" t="s">
        <v>90</v>
      </c>
      <c r="L32" s="12">
        <v>27</v>
      </c>
      <c r="M32" s="34">
        <v>0.77142857142857146</v>
      </c>
      <c r="N32" s="12">
        <v>7</v>
      </c>
      <c r="O32" s="33">
        <v>0.7</v>
      </c>
      <c r="P32" s="12">
        <v>17</v>
      </c>
      <c r="Q32" s="33">
        <v>0.56666666666666665</v>
      </c>
      <c r="R32" s="12">
        <v>16</v>
      </c>
      <c r="S32" s="33">
        <v>0.64</v>
      </c>
      <c r="T32" s="12">
        <v>67</v>
      </c>
      <c r="U32" s="33">
        <v>0.67</v>
      </c>
      <c r="V32" s="13" t="s">
        <v>111</v>
      </c>
      <c r="W32" s="13" t="s">
        <v>823</v>
      </c>
      <c r="X32" s="35">
        <v>46011</v>
      </c>
      <c r="Y32" s="22" t="s">
        <v>1279</v>
      </c>
      <c r="Z32" s="13" t="s">
        <v>1280</v>
      </c>
    </row>
    <row r="33" spans="1:26" x14ac:dyDescent="0.25">
      <c r="A33" s="22">
        <v>32</v>
      </c>
      <c r="B33" s="23" t="s">
        <v>877</v>
      </c>
      <c r="C33" s="27" t="s">
        <v>961</v>
      </c>
      <c r="D33" s="12" t="s">
        <v>1048</v>
      </c>
      <c r="E33" s="24" t="s">
        <v>1135</v>
      </c>
      <c r="F33" s="4"/>
      <c r="G33" s="4" t="s">
        <v>1222</v>
      </c>
      <c r="H33" s="22" t="s">
        <v>41</v>
      </c>
      <c r="I33" s="12" t="s">
        <v>50</v>
      </c>
      <c r="J33" s="32" t="s">
        <v>828</v>
      </c>
      <c r="K33" s="12" t="s">
        <v>90</v>
      </c>
      <c r="L33" s="12">
        <v>23</v>
      </c>
      <c r="M33" s="34">
        <v>0.65714285714285714</v>
      </c>
      <c r="N33" s="12">
        <v>8</v>
      </c>
      <c r="O33" s="33">
        <v>0.8</v>
      </c>
      <c r="P33" s="12">
        <v>25</v>
      </c>
      <c r="Q33" s="33">
        <v>0.83333333333333337</v>
      </c>
      <c r="R33" s="12">
        <v>18</v>
      </c>
      <c r="S33" s="33">
        <v>0.72</v>
      </c>
      <c r="T33" s="12">
        <v>74</v>
      </c>
      <c r="U33" s="33">
        <v>0.74</v>
      </c>
      <c r="V33" s="13" t="s">
        <v>111</v>
      </c>
      <c r="W33" s="13" t="s">
        <v>823</v>
      </c>
      <c r="X33" s="35">
        <v>46011</v>
      </c>
      <c r="Y33" s="22" t="s">
        <v>1279</v>
      </c>
      <c r="Z33" s="13" t="s">
        <v>845</v>
      </c>
    </row>
    <row r="34" spans="1:26" x14ac:dyDescent="0.25">
      <c r="A34" s="22">
        <v>33</v>
      </c>
      <c r="B34" s="23" t="s">
        <v>878</v>
      </c>
      <c r="C34" s="27" t="s">
        <v>962</v>
      </c>
      <c r="D34" s="12" t="s">
        <v>1049</v>
      </c>
      <c r="E34" s="24" t="s">
        <v>1136</v>
      </c>
      <c r="F34" s="4"/>
      <c r="G34" s="4" t="s">
        <v>1223</v>
      </c>
      <c r="H34" s="22" t="s">
        <v>41</v>
      </c>
      <c r="I34" s="12" t="s">
        <v>50</v>
      </c>
      <c r="J34" s="32" t="s">
        <v>828</v>
      </c>
      <c r="K34" s="12" t="s">
        <v>90</v>
      </c>
      <c r="L34" s="12">
        <v>21</v>
      </c>
      <c r="M34" s="34">
        <v>0.6</v>
      </c>
      <c r="N34" s="12">
        <v>3</v>
      </c>
      <c r="O34" s="33">
        <v>0.3</v>
      </c>
      <c r="P34" s="12">
        <v>20</v>
      </c>
      <c r="Q34" s="33">
        <v>0.66666666666666663</v>
      </c>
      <c r="R34" s="12">
        <v>16</v>
      </c>
      <c r="S34" s="33">
        <v>0.64</v>
      </c>
      <c r="T34" s="12">
        <v>60</v>
      </c>
      <c r="U34" s="33">
        <v>0.6</v>
      </c>
      <c r="V34" s="13" t="s">
        <v>111</v>
      </c>
      <c r="W34" s="13" t="s">
        <v>823</v>
      </c>
      <c r="X34" s="35">
        <v>46011</v>
      </c>
      <c r="Y34" s="22" t="s">
        <v>1279</v>
      </c>
      <c r="Z34" s="13" t="s">
        <v>845</v>
      </c>
    </row>
    <row r="35" spans="1:26" x14ac:dyDescent="0.25">
      <c r="A35" s="22">
        <v>34</v>
      </c>
      <c r="B35" s="23" t="s">
        <v>879</v>
      </c>
      <c r="C35" s="27" t="s">
        <v>963</v>
      </c>
      <c r="D35" s="12" t="s">
        <v>1050</v>
      </c>
      <c r="E35" s="24" t="s">
        <v>1137</v>
      </c>
      <c r="F35" s="4"/>
      <c r="G35" s="4" t="s">
        <v>1224</v>
      </c>
      <c r="H35" s="22" t="s">
        <v>41</v>
      </c>
      <c r="I35" s="12" t="s">
        <v>50</v>
      </c>
      <c r="J35" s="32" t="s">
        <v>828</v>
      </c>
      <c r="K35" s="12" t="s">
        <v>90</v>
      </c>
      <c r="L35" s="12">
        <v>26</v>
      </c>
      <c r="M35" s="34">
        <v>0.74285714285714288</v>
      </c>
      <c r="N35" s="12">
        <v>4</v>
      </c>
      <c r="O35" s="33">
        <v>0.4</v>
      </c>
      <c r="P35" s="12">
        <v>23</v>
      </c>
      <c r="Q35" s="33">
        <v>0.76666666666666672</v>
      </c>
      <c r="R35" s="12">
        <v>22</v>
      </c>
      <c r="S35" s="33">
        <v>0.88</v>
      </c>
      <c r="T35" s="12">
        <v>75</v>
      </c>
      <c r="U35" s="33">
        <v>0.75</v>
      </c>
      <c r="V35" s="13" t="s">
        <v>111</v>
      </c>
      <c r="W35" s="13" t="s">
        <v>823</v>
      </c>
      <c r="X35" s="35">
        <v>46011</v>
      </c>
      <c r="Y35" s="22" t="s">
        <v>1279</v>
      </c>
      <c r="Z35" s="13" t="s">
        <v>1280</v>
      </c>
    </row>
    <row r="36" spans="1:26" x14ac:dyDescent="0.25">
      <c r="A36" s="22">
        <v>35</v>
      </c>
      <c r="B36" s="23" t="s">
        <v>880</v>
      </c>
      <c r="C36" s="27" t="s">
        <v>964</v>
      </c>
      <c r="D36" s="12" t="s">
        <v>1051</v>
      </c>
      <c r="E36" s="24" t="s">
        <v>1138</v>
      </c>
      <c r="F36" s="4"/>
      <c r="G36" s="4" t="s">
        <v>1225</v>
      </c>
      <c r="H36" s="22" t="s">
        <v>41</v>
      </c>
      <c r="I36" s="12" t="s">
        <v>50</v>
      </c>
      <c r="J36" s="32" t="s">
        <v>824</v>
      </c>
      <c r="K36" s="12" t="s">
        <v>90</v>
      </c>
      <c r="L36" s="12">
        <v>20</v>
      </c>
      <c r="M36" s="34">
        <v>0.5714285714285714</v>
      </c>
      <c r="N36" s="12">
        <v>8</v>
      </c>
      <c r="O36" s="33">
        <v>0.8</v>
      </c>
      <c r="P36" s="12">
        <v>21</v>
      </c>
      <c r="Q36" s="33">
        <v>0.7</v>
      </c>
      <c r="R36" s="12">
        <v>16</v>
      </c>
      <c r="S36" s="33">
        <v>0.64</v>
      </c>
      <c r="T36" s="12">
        <v>65</v>
      </c>
      <c r="U36" s="33">
        <v>0.65</v>
      </c>
      <c r="V36" s="13" t="s">
        <v>111</v>
      </c>
      <c r="W36" s="13" t="s">
        <v>823</v>
      </c>
      <c r="X36" s="35">
        <v>46011</v>
      </c>
      <c r="Y36" s="22" t="s">
        <v>1279</v>
      </c>
      <c r="Z36" s="13" t="s">
        <v>1280</v>
      </c>
    </row>
    <row r="37" spans="1:26" x14ac:dyDescent="0.25">
      <c r="A37" s="22">
        <v>36</v>
      </c>
      <c r="B37" s="23" t="s">
        <v>881</v>
      </c>
      <c r="C37" s="27" t="s">
        <v>965</v>
      </c>
      <c r="D37" s="12" t="s">
        <v>1052</v>
      </c>
      <c r="E37" s="24" t="s">
        <v>1139</v>
      </c>
      <c r="F37" s="4"/>
      <c r="G37" s="4" t="s">
        <v>1226</v>
      </c>
      <c r="H37" s="31" t="s">
        <v>41</v>
      </c>
      <c r="I37" s="12" t="s">
        <v>50</v>
      </c>
      <c r="J37" s="32" t="s">
        <v>828</v>
      </c>
      <c r="K37" s="12" t="s">
        <v>90</v>
      </c>
      <c r="L37" s="12">
        <v>22</v>
      </c>
      <c r="M37" s="34">
        <v>0.62857142857142856</v>
      </c>
      <c r="N37" s="12">
        <v>5</v>
      </c>
      <c r="O37" s="33">
        <v>0.5</v>
      </c>
      <c r="P37" s="12">
        <v>21</v>
      </c>
      <c r="Q37" s="33">
        <v>0.7</v>
      </c>
      <c r="R37" s="12">
        <v>25</v>
      </c>
      <c r="S37" s="33">
        <v>1</v>
      </c>
      <c r="T37" s="12">
        <v>73</v>
      </c>
      <c r="U37" s="33">
        <v>0.73</v>
      </c>
      <c r="V37" s="13" t="s">
        <v>111</v>
      </c>
      <c r="W37" s="13" t="s">
        <v>823</v>
      </c>
      <c r="X37" s="35">
        <v>46011</v>
      </c>
      <c r="Y37" s="22" t="s">
        <v>1279</v>
      </c>
      <c r="Z37" s="13" t="s">
        <v>1280</v>
      </c>
    </row>
    <row r="38" spans="1:26" x14ac:dyDescent="0.25">
      <c r="A38" s="22">
        <v>37</v>
      </c>
      <c r="B38" s="23" t="s">
        <v>882</v>
      </c>
      <c r="C38" s="27" t="s">
        <v>966</v>
      </c>
      <c r="D38" s="12" t="s">
        <v>1053</v>
      </c>
      <c r="E38" s="24" t="s">
        <v>1140</v>
      </c>
      <c r="F38" s="4"/>
      <c r="G38" s="4" t="s">
        <v>1227</v>
      </c>
      <c r="H38" s="31" t="s">
        <v>39</v>
      </c>
      <c r="I38" s="12" t="s">
        <v>109</v>
      </c>
      <c r="J38" s="32" t="s">
        <v>828</v>
      </c>
      <c r="K38" s="12" t="s">
        <v>90</v>
      </c>
      <c r="L38" s="12">
        <v>14</v>
      </c>
      <c r="M38" s="34">
        <v>0.56000000000000005</v>
      </c>
      <c r="N38" s="12">
        <v>4</v>
      </c>
      <c r="O38" s="33">
        <v>0.4</v>
      </c>
      <c r="P38" s="12">
        <v>10</v>
      </c>
      <c r="Q38" s="33">
        <v>0.33333333333333331</v>
      </c>
      <c r="R38" s="12">
        <v>14</v>
      </c>
      <c r="S38" s="33">
        <v>0.4</v>
      </c>
      <c r="T38" s="12">
        <v>42</v>
      </c>
      <c r="U38" s="33">
        <v>0.42</v>
      </c>
      <c r="V38" s="13" t="s">
        <v>111</v>
      </c>
      <c r="W38" s="13" t="s">
        <v>823</v>
      </c>
      <c r="X38" s="35">
        <v>46011</v>
      </c>
      <c r="Y38" s="22" t="s">
        <v>1279</v>
      </c>
      <c r="Z38" s="13" t="s">
        <v>1280</v>
      </c>
    </row>
    <row r="39" spans="1:26" x14ac:dyDescent="0.25">
      <c r="A39" s="22">
        <v>38</v>
      </c>
      <c r="B39" s="23" t="s">
        <v>883</v>
      </c>
      <c r="C39" s="27" t="s">
        <v>967</v>
      </c>
      <c r="D39" s="12" t="s">
        <v>1054</v>
      </c>
      <c r="E39" s="24" t="s">
        <v>1141</v>
      </c>
      <c r="F39" s="4"/>
      <c r="G39" s="4" t="s">
        <v>1228</v>
      </c>
      <c r="H39" s="31" t="s">
        <v>39</v>
      </c>
      <c r="I39" s="12" t="s">
        <v>109</v>
      </c>
      <c r="J39" s="32" t="s">
        <v>828</v>
      </c>
      <c r="K39" s="12" t="s">
        <v>90</v>
      </c>
      <c r="L39" s="12">
        <v>15</v>
      </c>
      <c r="M39" s="34">
        <v>0.6</v>
      </c>
      <c r="N39" s="12">
        <v>5</v>
      </c>
      <c r="O39" s="33">
        <v>0.5</v>
      </c>
      <c r="P39" s="12">
        <v>8</v>
      </c>
      <c r="Q39" s="33">
        <v>0.26666666666666672</v>
      </c>
      <c r="R39" s="12">
        <v>15</v>
      </c>
      <c r="S39" s="33">
        <v>0.42857142857142849</v>
      </c>
      <c r="T39" s="12">
        <v>43</v>
      </c>
      <c r="U39" s="33">
        <v>0.43</v>
      </c>
      <c r="V39" s="13" t="s">
        <v>111</v>
      </c>
      <c r="W39" s="13" t="s">
        <v>823</v>
      </c>
      <c r="X39" s="35">
        <v>46011</v>
      </c>
      <c r="Y39" s="22" t="s">
        <v>1279</v>
      </c>
      <c r="Z39" s="13" t="s">
        <v>1280</v>
      </c>
    </row>
    <row r="40" spans="1:26" x14ac:dyDescent="0.25">
      <c r="A40" s="22">
        <v>39</v>
      </c>
      <c r="B40" s="23" t="s">
        <v>884</v>
      </c>
      <c r="C40" s="27" t="s">
        <v>968</v>
      </c>
      <c r="D40" s="12" t="s">
        <v>1055</v>
      </c>
      <c r="E40" s="24" t="s">
        <v>1142</v>
      </c>
      <c r="F40" s="4"/>
      <c r="G40" s="4" t="s">
        <v>1229</v>
      </c>
      <c r="H40" s="31" t="s">
        <v>39</v>
      </c>
      <c r="I40" s="12" t="s">
        <v>109</v>
      </c>
      <c r="J40" s="32" t="s">
        <v>828</v>
      </c>
      <c r="K40" s="12" t="s">
        <v>90</v>
      </c>
      <c r="L40" s="12">
        <v>20</v>
      </c>
      <c r="M40" s="34">
        <v>0.8</v>
      </c>
      <c r="N40" s="12">
        <v>7</v>
      </c>
      <c r="O40" s="33">
        <v>0.7</v>
      </c>
      <c r="P40" s="12">
        <v>23</v>
      </c>
      <c r="Q40" s="33">
        <v>0.76666666666666672</v>
      </c>
      <c r="R40" s="12">
        <v>33</v>
      </c>
      <c r="S40" s="33">
        <v>0.94285714285714284</v>
      </c>
      <c r="T40" s="12">
        <v>83</v>
      </c>
      <c r="U40" s="33">
        <v>0.83</v>
      </c>
      <c r="V40" s="13" t="s">
        <v>111</v>
      </c>
      <c r="W40" s="13" t="s">
        <v>823</v>
      </c>
      <c r="X40" s="35">
        <v>46011</v>
      </c>
      <c r="Y40" s="22" t="s">
        <v>1279</v>
      </c>
      <c r="Z40" s="13" t="s">
        <v>1280</v>
      </c>
    </row>
    <row r="41" spans="1:26" x14ac:dyDescent="0.25">
      <c r="A41" s="22">
        <v>40</v>
      </c>
      <c r="B41" s="23" t="s">
        <v>885</v>
      </c>
      <c r="C41" s="27" t="s">
        <v>969</v>
      </c>
      <c r="D41" s="12" t="s">
        <v>1056</v>
      </c>
      <c r="E41" s="24" t="s">
        <v>1143</v>
      </c>
      <c r="F41" s="4">
        <v>996186698</v>
      </c>
      <c r="G41" s="4" t="s">
        <v>1230</v>
      </c>
      <c r="H41" s="31" t="s">
        <v>39</v>
      </c>
      <c r="I41" s="12" t="s">
        <v>109</v>
      </c>
      <c r="J41" s="32" t="s">
        <v>828</v>
      </c>
      <c r="K41" s="12" t="s">
        <v>90</v>
      </c>
      <c r="L41" s="12">
        <v>10</v>
      </c>
      <c r="M41" s="34">
        <v>0.4</v>
      </c>
      <c r="N41" s="12">
        <v>6</v>
      </c>
      <c r="O41" s="33">
        <v>0.6</v>
      </c>
      <c r="P41" s="12">
        <v>17</v>
      </c>
      <c r="Q41" s="33">
        <v>0.56666666666666665</v>
      </c>
      <c r="R41" s="12">
        <v>27</v>
      </c>
      <c r="S41" s="33">
        <v>0.77142857142857146</v>
      </c>
      <c r="T41" s="12">
        <v>60</v>
      </c>
      <c r="U41" s="33">
        <v>0.6</v>
      </c>
      <c r="V41" s="13" t="s">
        <v>111</v>
      </c>
      <c r="W41" s="13" t="s">
        <v>823</v>
      </c>
      <c r="X41" s="35">
        <v>46011</v>
      </c>
      <c r="Y41" s="22" t="s">
        <v>1279</v>
      </c>
      <c r="Z41" s="13" t="s">
        <v>1280</v>
      </c>
    </row>
    <row r="42" spans="1:26" x14ac:dyDescent="0.25">
      <c r="A42" s="22">
        <v>41</v>
      </c>
      <c r="B42" s="23" t="s">
        <v>886</v>
      </c>
      <c r="C42" s="27" t="s">
        <v>970</v>
      </c>
      <c r="D42" s="12" t="s">
        <v>1057</v>
      </c>
      <c r="E42" s="24" t="s">
        <v>1144</v>
      </c>
      <c r="F42" s="4"/>
      <c r="G42" s="4" t="s">
        <v>1231</v>
      </c>
      <c r="H42" s="31" t="s">
        <v>39</v>
      </c>
      <c r="I42" s="12" t="s">
        <v>109</v>
      </c>
      <c r="J42" s="32" t="s">
        <v>828</v>
      </c>
      <c r="K42" s="12" t="s">
        <v>90</v>
      </c>
      <c r="L42" s="12">
        <v>17</v>
      </c>
      <c r="M42" s="34">
        <v>0.68</v>
      </c>
      <c r="N42" s="12">
        <v>8</v>
      </c>
      <c r="O42" s="33">
        <v>0.8</v>
      </c>
      <c r="P42" s="12">
        <v>27</v>
      </c>
      <c r="Q42" s="33">
        <v>0.9</v>
      </c>
      <c r="R42" s="12">
        <v>32</v>
      </c>
      <c r="S42" s="33">
        <v>0.91428571428571426</v>
      </c>
      <c r="T42" s="12">
        <v>84</v>
      </c>
      <c r="U42" s="33">
        <v>0.84</v>
      </c>
      <c r="V42" s="13" t="s">
        <v>111</v>
      </c>
      <c r="W42" s="13" t="s">
        <v>823</v>
      </c>
      <c r="X42" s="35">
        <v>46011</v>
      </c>
      <c r="Y42" s="22" t="s">
        <v>1279</v>
      </c>
      <c r="Z42" s="13" t="s">
        <v>845</v>
      </c>
    </row>
    <row r="43" spans="1:26" x14ac:dyDescent="0.25">
      <c r="A43" s="22">
        <v>42</v>
      </c>
      <c r="B43" s="23" t="s">
        <v>887</v>
      </c>
      <c r="C43" s="27" t="s">
        <v>971</v>
      </c>
      <c r="D43" s="12" t="s">
        <v>1058</v>
      </c>
      <c r="E43" s="24" t="s">
        <v>1145</v>
      </c>
      <c r="F43" s="4"/>
      <c r="G43" s="4" t="s">
        <v>1232</v>
      </c>
      <c r="H43" s="31" t="s">
        <v>39</v>
      </c>
      <c r="I43" s="12" t="s">
        <v>109</v>
      </c>
      <c r="J43" s="32" t="s">
        <v>828</v>
      </c>
      <c r="K43" s="12" t="s">
        <v>90</v>
      </c>
      <c r="L43" s="12">
        <v>11</v>
      </c>
      <c r="M43" s="34">
        <v>0.44</v>
      </c>
      <c r="N43" s="12">
        <v>5</v>
      </c>
      <c r="O43" s="33">
        <v>0.5</v>
      </c>
      <c r="P43" s="12">
        <v>20</v>
      </c>
      <c r="Q43" s="33">
        <v>0.66666666666666663</v>
      </c>
      <c r="R43" s="12">
        <v>25</v>
      </c>
      <c r="S43" s="33">
        <v>0.7142857142857143</v>
      </c>
      <c r="T43" s="12">
        <v>61</v>
      </c>
      <c r="U43" s="33">
        <v>0.61</v>
      </c>
      <c r="V43" s="13" t="s">
        <v>111</v>
      </c>
      <c r="W43" s="13" t="s">
        <v>823</v>
      </c>
      <c r="X43" s="35">
        <v>46011</v>
      </c>
      <c r="Y43" s="22" t="s">
        <v>1279</v>
      </c>
      <c r="Z43" s="13" t="s">
        <v>1280</v>
      </c>
    </row>
    <row r="44" spans="1:26" x14ac:dyDescent="0.25">
      <c r="A44" s="22">
        <v>43</v>
      </c>
      <c r="B44" s="23" t="s">
        <v>872</v>
      </c>
      <c r="C44" s="27" t="s">
        <v>972</v>
      </c>
      <c r="D44" s="12" t="s">
        <v>1059</v>
      </c>
      <c r="E44" s="24" t="s">
        <v>1146</v>
      </c>
      <c r="F44" s="4"/>
      <c r="G44" s="4" t="s">
        <v>1233</v>
      </c>
      <c r="H44" s="31" t="s">
        <v>39</v>
      </c>
      <c r="I44" s="12" t="s">
        <v>109</v>
      </c>
      <c r="J44" s="32" t="s">
        <v>828</v>
      </c>
      <c r="K44" s="12" t="s">
        <v>90</v>
      </c>
      <c r="L44" s="12">
        <v>17</v>
      </c>
      <c r="M44" s="34">
        <v>0.68</v>
      </c>
      <c r="N44" s="12">
        <v>7</v>
      </c>
      <c r="O44" s="33">
        <v>0.7</v>
      </c>
      <c r="P44" s="12">
        <v>15</v>
      </c>
      <c r="Q44" s="33">
        <v>0.5</v>
      </c>
      <c r="R44" s="12">
        <v>23</v>
      </c>
      <c r="S44" s="33">
        <v>0.65714285714285714</v>
      </c>
      <c r="T44" s="12">
        <v>62</v>
      </c>
      <c r="U44" s="33">
        <v>0.62</v>
      </c>
      <c r="V44" s="13" t="s">
        <v>111</v>
      </c>
      <c r="W44" s="13" t="s">
        <v>823</v>
      </c>
      <c r="X44" s="35">
        <v>46011</v>
      </c>
      <c r="Y44" s="22" t="s">
        <v>1279</v>
      </c>
      <c r="Z44" s="13" t="s">
        <v>1280</v>
      </c>
    </row>
    <row r="45" spans="1:26" x14ac:dyDescent="0.25">
      <c r="A45" s="22">
        <v>44</v>
      </c>
      <c r="B45" s="23" t="s">
        <v>888</v>
      </c>
      <c r="C45" s="27" t="s">
        <v>973</v>
      </c>
      <c r="D45" s="12" t="s">
        <v>1060</v>
      </c>
      <c r="E45" s="24" t="s">
        <v>1147</v>
      </c>
      <c r="F45" s="4"/>
      <c r="G45" s="4" t="s">
        <v>1234</v>
      </c>
      <c r="H45" s="31" t="s">
        <v>39</v>
      </c>
      <c r="I45" s="12" t="s">
        <v>109</v>
      </c>
      <c r="J45" s="32" t="s">
        <v>828</v>
      </c>
      <c r="K45" s="12" t="s">
        <v>90</v>
      </c>
      <c r="L45" s="12">
        <v>13</v>
      </c>
      <c r="M45" s="34">
        <v>0.52</v>
      </c>
      <c r="N45" s="12">
        <v>5</v>
      </c>
      <c r="O45" s="33">
        <v>0.5</v>
      </c>
      <c r="P45" s="12">
        <v>11</v>
      </c>
      <c r="Q45" s="33">
        <v>0.36666666666666659</v>
      </c>
      <c r="R45" s="12">
        <v>24</v>
      </c>
      <c r="S45" s="33">
        <v>0.68571428571428572</v>
      </c>
      <c r="T45" s="12">
        <v>53</v>
      </c>
      <c r="U45" s="33">
        <v>0.53</v>
      </c>
      <c r="V45" s="13" t="s">
        <v>111</v>
      </c>
      <c r="W45" s="13" t="s">
        <v>823</v>
      </c>
      <c r="X45" s="35">
        <v>46011</v>
      </c>
      <c r="Y45" s="22" t="s">
        <v>1279</v>
      </c>
      <c r="Z45" s="13" t="s">
        <v>1280</v>
      </c>
    </row>
    <row r="46" spans="1:26" x14ac:dyDescent="0.25">
      <c r="A46" s="22">
        <v>45</v>
      </c>
      <c r="B46" s="23" t="s">
        <v>889</v>
      </c>
      <c r="C46" s="27" t="s">
        <v>974</v>
      </c>
      <c r="D46" s="12" t="s">
        <v>1061</v>
      </c>
      <c r="E46" s="24" t="s">
        <v>1148</v>
      </c>
      <c r="F46" s="4"/>
      <c r="G46" s="4" t="s">
        <v>1235</v>
      </c>
      <c r="H46" s="31" t="s">
        <v>39</v>
      </c>
      <c r="I46" s="12" t="s">
        <v>109</v>
      </c>
      <c r="J46" s="32" t="s">
        <v>828</v>
      </c>
      <c r="K46" s="12" t="s">
        <v>90</v>
      </c>
      <c r="L46" s="12">
        <v>17</v>
      </c>
      <c r="M46" s="34">
        <v>0.68</v>
      </c>
      <c r="N46" s="12">
        <v>8</v>
      </c>
      <c r="O46" s="33">
        <v>0.8</v>
      </c>
      <c r="P46" s="12">
        <v>25</v>
      </c>
      <c r="Q46" s="33">
        <v>0.83333333333333337</v>
      </c>
      <c r="R46" s="12">
        <v>30</v>
      </c>
      <c r="S46" s="33">
        <v>0.8571428571428571</v>
      </c>
      <c r="T46" s="12">
        <v>80</v>
      </c>
      <c r="U46" s="33">
        <v>0.8</v>
      </c>
      <c r="V46" s="13" t="s">
        <v>111</v>
      </c>
      <c r="W46" s="13" t="s">
        <v>823</v>
      </c>
      <c r="X46" s="35">
        <v>46011</v>
      </c>
      <c r="Y46" s="22" t="s">
        <v>1279</v>
      </c>
      <c r="Z46" s="13" t="s">
        <v>845</v>
      </c>
    </row>
    <row r="47" spans="1:26" x14ac:dyDescent="0.25">
      <c r="A47" s="22">
        <v>46</v>
      </c>
      <c r="B47" s="23" t="s">
        <v>890</v>
      </c>
      <c r="C47" s="27" t="s">
        <v>975</v>
      </c>
      <c r="D47" s="12" t="s">
        <v>1062</v>
      </c>
      <c r="E47" s="24" t="s">
        <v>1149</v>
      </c>
      <c r="F47" s="4"/>
      <c r="G47" s="4" t="s">
        <v>1236</v>
      </c>
      <c r="H47" s="31" t="s">
        <v>39</v>
      </c>
      <c r="I47" s="12" t="s">
        <v>109</v>
      </c>
      <c r="J47" s="32" t="s">
        <v>828</v>
      </c>
      <c r="K47" s="12" t="s">
        <v>90</v>
      </c>
      <c r="L47" s="12">
        <v>16</v>
      </c>
      <c r="M47" s="34">
        <v>0.64</v>
      </c>
      <c r="N47" s="12">
        <v>7</v>
      </c>
      <c r="O47" s="33">
        <v>0.7</v>
      </c>
      <c r="P47" s="12">
        <v>17</v>
      </c>
      <c r="Q47" s="33">
        <v>0.56666666666666665</v>
      </c>
      <c r="R47" s="12">
        <v>29</v>
      </c>
      <c r="S47" s="33">
        <v>0.82857142857142863</v>
      </c>
      <c r="T47" s="12">
        <v>69</v>
      </c>
      <c r="U47" s="33">
        <v>0.69</v>
      </c>
      <c r="V47" s="13" t="s">
        <v>111</v>
      </c>
      <c r="W47" s="13" t="s">
        <v>823</v>
      </c>
      <c r="X47" s="35">
        <v>46011</v>
      </c>
      <c r="Y47" s="22" t="s">
        <v>1279</v>
      </c>
      <c r="Z47" s="13" t="s">
        <v>845</v>
      </c>
    </row>
    <row r="48" spans="1:26" x14ac:dyDescent="0.25">
      <c r="A48" s="22">
        <v>47</v>
      </c>
      <c r="B48" s="23" t="s">
        <v>891</v>
      </c>
      <c r="C48" s="27" t="s">
        <v>976</v>
      </c>
      <c r="D48" s="12" t="s">
        <v>1063</v>
      </c>
      <c r="E48" s="24" t="s">
        <v>1150</v>
      </c>
      <c r="F48" s="4"/>
      <c r="G48" s="4" t="s">
        <v>1237</v>
      </c>
      <c r="H48" s="31" t="s">
        <v>39</v>
      </c>
      <c r="I48" s="12" t="s">
        <v>109</v>
      </c>
      <c r="J48" s="32" t="s">
        <v>828</v>
      </c>
      <c r="K48" s="12" t="s">
        <v>90</v>
      </c>
      <c r="L48" s="12">
        <v>5</v>
      </c>
      <c r="M48" s="34">
        <v>0.2</v>
      </c>
      <c r="N48" s="12">
        <v>4</v>
      </c>
      <c r="O48" s="33">
        <v>0.4</v>
      </c>
      <c r="P48" s="12">
        <v>13</v>
      </c>
      <c r="Q48" s="33">
        <v>0.43333333333333329</v>
      </c>
      <c r="R48" s="12">
        <v>28</v>
      </c>
      <c r="S48" s="33">
        <v>0.8</v>
      </c>
      <c r="T48" s="12">
        <v>50</v>
      </c>
      <c r="U48" s="33">
        <v>0.5</v>
      </c>
      <c r="V48" s="13" t="s">
        <v>111</v>
      </c>
      <c r="W48" s="13" t="s">
        <v>823</v>
      </c>
      <c r="X48" s="35">
        <v>46011</v>
      </c>
      <c r="Y48" s="22" t="s">
        <v>1279</v>
      </c>
      <c r="Z48" s="13" t="s">
        <v>845</v>
      </c>
    </row>
    <row r="49" spans="1:26" x14ac:dyDescent="0.25">
      <c r="A49" s="22">
        <v>48</v>
      </c>
      <c r="B49" s="23" t="s">
        <v>871</v>
      </c>
      <c r="C49" s="27" t="s">
        <v>977</v>
      </c>
      <c r="D49" s="12" t="s">
        <v>1064</v>
      </c>
      <c r="E49" s="24" t="s">
        <v>1151</v>
      </c>
      <c r="F49" s="4"/>
      <c r="G49" s="4" t="s">
        <v>1238</v>
      </c>
      <c r="H49" s="31" t="s">
        <v>39</v>
      </c>
      <c r="I49" s="12" t="s">
        <v>109</v>
      </c>
      <c r="J49" s="32" t="s">
        <v>828</v>
      </c>
      <c r="K49" s="12" t="s">
        <v>90</v>
      </c>
      <c r="L49" s="12">
        <v>14</v>
      </c>
      <c r="M49" s="34">
        <v>0.56000000000000005</v>
      </c>
      <c r="N49" s="12">
        <v>8</v>
      </c>
      <c r="O49" s="33">
        <v>0.8</v>
      </c>
      <c r="P49" s="12">
        <v>16</v>
      </c>
      <c r="Q49" s="33">
        <v>0.53333333333333333</v>
      </c>
      <c r="R49" s="12">
        <v>26</v>
      </c>
      <c r="S49" s="33">
        <v>0.74285714285714288</v>
      </c>
      <c r="T49" s="12">
        <v>64</v>
      </c>
      <c r="U49" s="33">
        <v>0.64</v>
      </c>
      <c r="V49" s="13" t="s">
        <v>111</v>
      </c>
      <c r="W49" s="13" t="s">
        <v>823</v>
      </c>
      <c r="X49" s="35">
        <v>46011</v>
      </c>
      <c r="Y49" s="22" t="s">
        <v>1279</v>
      </c>
      <c r="Z49" s="13" t="s">
        <v>1280</v>
      </c>
    </row>
    <row r="50" spans="1:26" x14ac:dyDescent="0.25">
      <c r="A50" s="22">
        <v>49</v>
      </c>
      <c r="B50" s="23" t="s">
        <v>892</v>
      </c>
      <c r="C50" s="27" t="s">
        <v>978</v>
      </c>
      <c r="D50" s="12" t="s">
        <v>1065</v>
      </c>
      <c r="E50" s="24" t="s">
        <v>1152</v>
      </c>
      <c r="F50" s="4"/>
      <c r="G50" s="4" t="s">
        <v>1239</v>
      </c>
      <c r="H50" s="31" t="s">
        <v>39</v>
      </c>
      <c r="I50" s="12" t="s">
        <v>109</v>
      </c>
      <c r="J50" s="32" t="s">
        <v>828</v>
      </c>
      <c r="K50" s="12" t="s">
        <v>90</v>
      </c>
      <c r="L50" s="12">
        <v>17</v>
      </c>
      <c r="M50" s="34">
        <v>0.68</v>
      </c>
      <c r="N50" s="12">
        <v>8</v>
      </c>
      <c r="O50" s="33">
        <v>0.8</v>
      </c>
      <c r="P50" s="12">
        <v>26</v>
      </c>
      <c r="Q50" s="33">
        <v>0.8666666666666667</v>
      </c>
      <c r="R50" s="12">
        <v>35</v>
      </c>
      <c r="S50" s="33">
        <v>1</v>
      </c>
      <c r="T50" s="12">
        <v>86</v>
      </c>
      <c r="U50" s="33">
        <v>0.86</v>
      </c>
      <c r="V50" s="13" t="s">
        <v>111</v>
      </c>
      <c r="W50" s="13" t="s">
        <v>823</v>
      </c>
      <c r="X50" s="35">
        <v>46011</v>
      </c>
      <c r="Y50" s="22" t="s">
        <v>1279</v>
      </c>
      <c r="Z50" s="13" t="s">
        <v>1280</v>
      </c>
    </row>
    <row r="51" spans="1:26" x14ac:dyDescent="0.25">
      <c r="A51" s="22">
        <v>50</v>
      </c>
      <c r="B51" s="23" t="s">
        <v>893</v>
      </c>
      <c r="C51" s="27" t="s">
        <v>979</v>
      </c>
      <c r="D51" s="12" t="s">
        <v>1066</v>
      </c>
      <c r="E51" s="24" t="s">
        <v>1153</v>
      </c>
      <c r="F51" s="4"/>
      <c r="G51" s="4" t="s">
        <v>1240</v>
      </c>
      <c r="H51" s="31" t="s">
        <v>39</v>
      </c>
      <c r="I51" s="12" t="s">
        <v>109</v>
      </c>
      <c r="J51" s="32" t="s">
        <v>828</v>
      </c>
      <c r="K51" s="12" t="s">
        <v>90</v>
      </c>
      <c r="L51" s="12">
        <v>20</v>
      </c>
      <c r="M51" s="34">
        <v>0.8</v>
      </c>
      <c r="N51" s="12">
        <v>8</v>
      </c>
      <c r="O51" s="33">
        <v>0.8</v>
      </c>
      <c r="P51" s="12">
        <v>11</v>
      </c>
      <c r="Q51" s="33">
        <v>0.36666666666666659</v>
      </c>
      <c r="R51" s="12">
        <v>32</v>
      </c>
      <c r="S51" s="33">
        <v>0.91428571428571426</v>
      </c>
      <c r="T51" s="12">
        <v>71</v>
      </c>
      <c r="U51" s="33">
        <v>0.71</v>
      </c>
      <c r="V51" s="13" t="s">
        <v>111</v>
      </c>
      <c r="W51" s="13" t="s">
        <v>823</v>
      </c>
      <c r="X51" s="35">
        <v>46011</v>
      </c>
      <c r="Y51" s="22" t="s">
        <v>1279</v>
      </c>
      <c r="Z51" s="13" t="s">
        <v>1280</v>
      </c>
    </row>
    <row r="52" spans="1:26" x14ac:dyDescent="0.25">
      <c r="A52" s="22">
        <v>51</v>
      </c>
      <c r="B52" s="23" t="s">
        <v>894</v>
      </c>
      <c r="C52" s="27" t="s">
        <v>980</v>
      </c>
      <c r="D52" s="12" t="s">
        <v>1067</v>
      </c>
      <c r="E52" s="24" t="s">
        <v>1154</v>
      </c>
      <c r="F52" s="4"/>
      <c r="G52" s="4" t="s">
        <v>1241</v>
      </c>
      <c r="H52" s="31" t="s">
        <v>38</v>
      </c>
      <c r="I52" s="12" t="s">
        <v>826</v>
      </c>
      <c r="J52" s="32" t="s">
        <v>824</v>
      </c>
      <c r="K52" s="12" t="s">
        <v>90</v>
      </c>
      <c r="L52" s="12">
        <v>14</v>
      </c>
      <c r="M52" s="34">
        <v>0.56000000000000005</v>
      </c>
      <c r="N52" s="12">
        <v>9</v>
      </c>
      <c r="O52" s="33">
        <v>0.9</v>
      </c>
      <c r="P52" s="12">
        <v>21</v>
      </c>
      <c r="Q52" s="33">
        <v>0.42</v>
      </c>
      <c r="R52" s="12">
        <v>12</v>
      </c>
      <c r="S52" s="33">
        <v>0.8</v>
      </c>
      <c r="T52" s="12">
        <v>56</v>
      </c>
      <c r="U52" s="33">
        <v>0.56000000000000005</v>
      </c>
      <c r="V52" s="13" t="s">
        <v>111</v>
      </c>
      <c r="W52" s="13" t="s">
        <v>823</v>
      </c>
      <c r="X52" s="35">
        <v>46011</v>
      </c>
      <c r="Y52" s="22" t="s">
        <v>1279</v>
      </c>
      <c r="Z52" s="13" t="s">
        <v>1280</v>
      </c>
    </row>
    <row r="53" spans="1:26" x14ac:dyDescent="0.25">
      <c r="A53" s="22">
        <v>52</v>
      </c>
      <c r="B53" s="23" t="s">
        <v>895</v>
      </c>
      <c r="C53" s="27" t="s">
        <v>981</v>
      </c>
      <c r="D53" s="12" t="s">
        <v>1068</v>
      </c>
      <c r="E53" s="24" t="s">
        <v>1155</v>
      </c>
      <c r="F53" s="4"/>
      <c r="G53" s="4" t="s">
        <v>1242</v>
      </c>
      <c r="H53" s="31" t="s">
        <v>38</v>
      </c>
      <c r="I53" s="12" t="s">
        <v>826</v>
      </c>
      <c r="J53" s="32" t="s">
        <v>824</v>
      </c>
      <c r="K53" s="12" t="s">
        <v>90</v>
      </c>
      <c r="L53" s="12">
        <v>11</v>
      </c>
      <c r="M53" s="34">
        <v>0.44</v>
      </c>
      <c r="N53" s="12">
        <v>6</v>
      </c>
      <c r="O53" s="33">
        <v>0.6</v>
      </c>
      <c r="P53" s="12">
        <v>36</v>
      </c>
      <c r="Q53" s="33">
        <v>0.72</v>
      </c>
      <c r="R53" s="12">
        <v>13</v>
      </c>
      <c r="S53" s="33">
        <v>0.8666666666666667</v>
      </c>
      <c r="T53" s="12">
        <v>66</v>
      </c>
      <c r="U53" s="33">
        <v>0.66</v>
      </c>
      <c r="V53" s="13" t="s">
        <v>111</v>
      </c>
      <c r="W53" s="13" t="s">
        <v>823</v>
      </c>
      <c r="X53" s="35">
        <v>46011</v>
      </c>
      <c r="Y53" s="22" t="s">
        <v>1279</v>
      </c>
      <c r="Z53" s="13" t="s">
        <v>1280</v>
      </c>
    </row>
    <row r="54" spans="1:26" x14ac:dyDescent="0.25">
      <c r="A54" s="22">
        <v>53</v>
      </c>
      <c r="B54" s="23" t="s">
        <v>896</v>
      </c>
      <c r="C54" s="27" t="s">
        <v>982</v>
      </c>
      <c r="D54" s="12" t="s">
        <v>1069</v>
      </c>
      <c r="E54" s="24" t="s">
        <v>1156</v>
      </c>
      <c r="F54" s="4"/>
      <c r="G54" s="4" t="s">
        <v>1243</v>
      </c>
      <c r="H54" s="31" t="s">
        <v>38</v>
      </c>
      <c r="I54" s="12" t="s">
        <v>826</v>
      </c>
      <c r="J54" s="32" t="s">
        <v>824</v>
      </c>
      <c r="K54" s="12" t="s">
        <v>90</v>
      </c>
      <c r="L54" s="12">
        <v>6</v>
      </c>
      <c r="M54" s="34">
        <v>0.24</v>
      </c>
      <c r="N54" s="12">
        <v>3</v>
      </c>
      <c r="O54" s="33">
        <v>0.3</v>
      </c>
      <c r="P54" s="12">
        <v>40</v>
      </c>
      <c r="Q54" s="33">
        <v>0.8</v>
      </c>
      <c r="R54" s="12">
        <v>12</v>
      </c>
      <c r="S54" s="33">
        <v>0.8</v>
      </c>
      <c r="T54" s="12">
        <v>61</v>
      </c>
      <c r="U54" s="33">
        <v>0.61</v>
      </c>
      <c r="V54" s="13" t="s">
        <v>111</v>
      </c>
      <c r="W54" s="13" t="s">
        <v>823</v>
      </c>
      <c r="X54" s="35">
        <v>46011</v>
      </c>
      <c r="Y54" s="22" t="s">
        <v>1279</v>
      </c>
      <c r="Z54" s="13" t="s">
        <v>1280</v>
      </c>
    </row>
    <row r="55" spans="1:26" x14ac:dyDescent="0.25">
      <c r="A55" s="22">
        <v>54</v>
      </c>
      <c r="B55" s="23" t="s">
        <v>897</v>
      </c>
      <c r="C55" s="27" t="s">
        <v>983</v>
      </c>
      <c r="D55" s="12" t="s">
        <v>1070</v>
      </c>
      <c r="E55" s="24" t="s">
        <v>1157</v>
      </c>
      <c r="F55" s="4"/>
      <c r="G55" s="4" t="s">
        <v>1244</v>
      </c>
      <c r="H55" s="31" t="s">
        <v>38</v>
      </c>
      <c r="I55" s="12" t="s">
        <v>826</v>
      </c>
      <c r="J55" s="32" t="s">
        <v>824</v>
      </c>
      <c r="K55" s="12" t="s">
        <v>90</v>
      </c>
      <c r="L55" s="12">
        <v>18</v>
      </c>
      <c r="M55" s="34">
        <v>0.72</v>
      </c>
      <c r="N55" s="12">
        <v>9</v>
      </c>
      <c r="O55" s="33">
        <v>0.9</v>
      </c>
      <c r="P55" s="12">
        <v>41</v>
      </c>
      <c r="Q55" s="33">
        <v>0.82</v>
      </c>
      <c r="R55" s="12">
        <v>12</v>
      </c>
      <c r="S55" s="33">
        <v>0.8</v>
      </c>
      <c r="T55" s="12">
        <v>80</v>
      </c>
      <c r="U55" s="33">
        <v>0.8</v>
      </c>
      <c r="V55" s="13" t="s">
        <v>111</v>
      </c>
      <c r="W55" s="13" t="s">
        <v>823</v>
      </c>
      <c r="X55" s="35">
        <v>46011</v>
      </c>
      <c r="Y55" s="22" t="s">
        <v>1279</v>
      </c>
      <c r="Z55" s="13" t="s">
        <v>1280</v>
      </c>
    </row>
    <row r="56" spans="1:26" x14ac:dyDescent="0.25">
      <c r="A56" s="22">
        <v>55</v>
      </c>
      <c r="B56" s="23" t="s">
        <v>898</v>
      </c>
      <c r="C56" s="27" t="s">
        <v>984</v>
      </c>
      <c r="D56" s="12" t="s">
        <v>1071</v>
      </c>
      <c r="E56" s="24" t="s">
        <v>1158</v>
      </c>
      <c r="F56" s="4"/>
      <c r="G56" s="4" t="s">
        <v>1245</v>
      </c>
      <c r="H56" s="31" t="s">
        <v>39</v>
      </c>
      <c r="I56" s="12" t="s">
        <v>34</v>
      </c>
      <c r="J56" s="32" t="s">
        <v>828</v>
      </c>
      <c r="K56" s="12" t="s">
        <v>90</v>
      </c>
      <c r="L56" s="12">
        <v>12</v>
      </c>
      <c r="M56" s="34">
        <v>0.48</v>
      </c>
      <c r="N56" s="12">
        <v>3</v>
      </c>
      <c r="O56" s="33">
        <v>0.3</v>
      </c>
      <c r="P56" s="12">
        <v>20</v>
      </c>
      <c r="Q56" s="33">
        <v>0.66666666666666663</v>
      </c>
      <c r="R56" s="12">
        <v>23</v>
      </c>
      <c r="S56" s="33">
        <v>0.65714285714285714</v>
      </c>
      <c r="T56" s="12">
        <v>58</v>
      </c>
      <c r="U56" s="33">
        <v>0.57999999999999996</v>
      </c>
      <c r="V56" s="13" t="s">
        <v>111</v>
      </c>
      <c r="W56" s="13" t="s">
        <v>823</v>
      </c>
      <c r="X56" s="35">
        <v>46011</v>
      </c>
      <c r="Y56" s="22" t="s">
        <v>1279</v>
      </c>
      <c r="Z56" s="13" t="s">
        <v>1280</v>
      </c>
    </row>
    <row r="57" spans="1:26" x14ac:dyDescent="0.25">
      <c r="A57" s="22">
        <v>56</v>
      </c>
      <c r="B57" s="23" t="s">
        <v>899</v>
      </c>
      <c r="C57" s="27" t="s">
        <v>985</v>
      </c>
      <c r="D57" s="12" t="s">
        <v>1072</v>
      </c>
      <c r="E57" s="24" t="s">
        <v>1159</v>
      </c>
      <c r="F57" s="4"/>
      <c r="G57" s="4" t="s">
        <v>1246</v>
      </c>
      <c r="H57" s="31" t="s">
        <v>39</v>
      </c>
      <c r="I57" s="12" t="s">
        <v>34</v>
      </c>
      <c r="J57" s="32" t="s">
        <v>828</v>
      </c>
      <c r="K57" s="12" t="s">
        <v>90</v>
      </c>
      <c r="L57" s="12">
        <v>11</v>
      </c>
      <c r="M57" s="34">
        <v>0.44</v>
      </c>
      <c r="N57" s="12">
        <v>4</v>
      </c>
      <c r="O57" s="33">
        <v>0.4</v>
      </c>
      <c r="P57" s="12">
        <v>18</v>
      </c>
      <c r="Q57" s="33">
        <v>0.6</v>
      </c>
      <c r="R57" s="12">
        <v>21</v>
      </c>
      <c r="S57" s="33">
        <v>0.6</v>
      </c>
      <c r="T57" s="12">
        <v>54</v>
      </c>
      <c r="U57" s="33">
        <v>0.54</v>
      </c>
      <c r="V57" s="13" t="s">
        <v>111</v>
      </c>
      <c r="W57" s="13" t="s">
        <v>823</v>
      </c>
      <c r="X57" s="35">
        <v>46011</v>
      </c>
      <c r="Y57" s="22" t="s">
        <v>1279</v>
      </c>
      <c r="Z57" s="13" t="s">
        <v>1280</v>
      </c>
    </row>
    <row r="58" spans="1:26" x14ac:dyDescent="0.25">
      <c r="A58" s="22">
        <v>57</v>
      </c>
      <c r="B58" s="23" t="s">
        <v>900</v>
      </c>
      <c r="C58" s="27" t="s">
        <v>986</v>
      </c>
      <c r="D58" s="12" t="s">
        <v>1073</v>
      </c>
      <c r="E58" s="24" t="s">
        <v>1160</v>
      </c>
      <c r="F58" s="4"/>
      <c r="G58" s="4" t="s">
        <v>1247</v>
      </c>
      <c r="H58" s="31" t="s">
        <v>39</v>
      </c>
      <c r="I58" s="12" t="s">
        <v>34</v>
      </c>
      <c r="J58" s="32" t="s">
        <v>828</v>
      </c>
      <c r="K58" s="12" t="s">
        <v>90</v>
      </c>
      <c r="L58" s="12">
        <v>12</v>
      </c>
      <c r="M58" s="34">
        <v>0.48</v>
      </c>
      <c r="N58" s="12">
        <v>6</v>
      </c>
      <c r="O58" s="33">
        <v>0.6</v>
      </c>
      <c r="P58" s="12">
        <v>21</v>
      </c>
      <c r="Q58" s="33">
        <v>0.7</v>
      </c>
      <c r="R58" s="12">
        <v>32</v>
      </c>
      <c r="S58" s="33">
        <v>0.91428571428571426</v>
      </c>
      <c r="T58" s="12">
        <v>71</v>
      </c>
      <c r="U58" s="33">
        <v>0.71</v>
      </c>
      <c r="V58" s="13" t="s">
        <v>111</v>
      </c>
      <c r="W58" s="13" t="s">
        <v>823</v>
      </c>
      <c r="X58" s="35">
        <v>46011</v>
      </c>
      <c r="Y58" s="22" t="s">
        <v>1279</v>
      </c>
      <c r="Z58" s="13" t="s">
        <v>845</v>
      </c>
    </row>
    <row r="59" spans="1:26" x14ac:dyDescent="0.25">
      <c r="A59" s="22">
        <v>58</v>
      </c>
      <c r="B59" s="23" t="s">
        <v>901</v>
      </c>
      <c r="C59" s="27" t="s">
        <v>987</v>
      </c>
      <c r="D59" s="12" t="s">
        <v>1074</v>
      </c>
      <c r="E59" s="24" t="s">
        <v>1161</v>
      </c>
      <c r="F59" s="4"/>
      <c r="G59" s="4" t="s">
        <v>1248</v>
      </c>
      <c r="H59" s="31" t="s">
        <v>39</v>
      </c>
      <c r="I59" s="12" t="s">
        <v>34</v>
      </c>
      <c r="J59" s="32" t="s">
        <v>828</v>
      </c>
      <c r="K59" s="12" t="s">
        <v>90</v>
      </c>
      <c r="L59" s="12">
        <v>10</v>
      </c>
      <c r="M59" s="34">
        <v>0.4</v>
      </c>
      <c r="N59" s="12">
        <v>8</v>
      </c>
      <c r="O59" s="33">
        <v>0.8</v>
      </c>
      <c r="P59" s="12">
        <v>18</v>
      </c>
      <c r="Q59" s="33">
        <v>0.6</v>
      </c>
      <c r="R59" s="12">
        <v>29</v>
      </c>
      <c r="S59" s="33">
        <v>0.82857142857142863</v>
      </c>
      <c r="T59" s="12">
        <v>65</v>
      </c>
      <c r="U59" s="33">
        <v>0.65</v>
      </c>
      <c r="V59" s="13" t="s">
        <v>111</v>
      </c>
      <c r="W59" s="13" t="s">
        <v>823</v>
      </c>
      <c r="X59" s="35">
        <v>46011</v>
      </c>
      <c r="Y59" s="22" t="s">
        <v>1279</v>
      </c>
      <c r="Z59" s="13" t="s">
        <v>1280</v>
      </c>
    </row>
    <row r="60" spans="1:26" x14ac:dyDescent="0.25">
      <c r="A60" s="22">
        <v>59</v>
      </c>
      <c r="B60" s="23" t="s">
        <v>902</v>
      </c>
      <c r="C60" s="27" t="s">
        <v>988</v>
      </c>
      <c r="D60" s="12" t="s">
        <v>1075</v>
      </c>
      <c r="E60" s="24" t="s">
        <v>1162</v>
      </c>
      <c r="F60" s="4"/>
      <c r="G60" s="4" t="s">
        <v>1249</v>
      </c>
      <c r="H60" s="31" t="s">
        <v>39</v>
      </c>
      <c r="I60" s="12" t="s">
        <v>34</v>
      </c>
      <c r="J60" s="32" t="s">
        <v>828</v>
      </c>
      <c r="K60" s="12" t="s">
        <v>90</v>
      </c>
      <c r="L60" s="12">
        <v>19</v>
      </c>
      <c r="M60" s="34">
        <v>0.76</v>
      </c>
      <c r="N60" s="12">
        <v>7</v>
      </c>
      <c r="O60" s="33">
        <v>0.7</v>
      </c>
      <c r="P60" s="12">
        <v>24</v>
      </c>
      <c r="Q60" s="33">
        <v>0.8</v>
      </c>
      <c r="R60" s="12">
        <v>30</v>
      </c>
      <c r="S60" s="33">
        <v>0.8571428571428571</v>
      </c>
      <c r="T60" s="12">
        <v>80</v>
      </c>
      <c r="U60" s="33">
        <v>0.8</v>
      </c>
      <c r="V60" s="13" t="s">
        <v>111</v>
      </c>
      <c r="W60" s="13" t="s">
        <v>823</v>
      </c>
      <c r="X60" s="35">
        <v>46011</v>
      </c>
      <c r="Y60" s="22" t="s">
        <v>1279</v>
      </c>
      <c r="Z60" s="13" t="s">
        <v>1280</v>
      </c>
    </row>
    <row r="61" spans="1:26" x14ac:dyDescent="0.25">
      <c r="A61" s="22">
        <v>60</v>
      </c>
      <c r="B61" s="23" t="s">
        <v>903</v>
      </c>
      <c r="C61" s="27" t="s">
        <v>989</v>
      </c>
      <c r="D61" s="12" t="s">
        <v>1076</v>
      </c>
      <c r="E61" s="24" t="s">
        <v>1163</v>
      </c>
      <c r="F61" s="4"/>
      <c r="G61" s="4" t="s">
        <v>1250</v>
      </c>
      <c r="H61" s="31" t="s">
        <v>39</v>
      </c>
      <c r="I61" s="12" t="s">
        <v>34</v>
      </c>
      <c r="J61" s="32" t="s">
        <v>828</v>
      </c>
      <c r="K61" s="12" t="s">
        <v>90</v>
      </c>
      <c r="L61" s="12">
        <v>20</v>
      </c>
      <c r="M61" s="34">
        <v>0.8</v>
      </c>
      <c r="N61" s="12">
        <v>9</v>
      </c>
      <c r="O61" s="33">
        <v>0.9</v>
      </c>
      <c r="P61" s="12">
        <v>20</v>
      </c>
      <c r="Q61" s="33">
        <v>0.66666666666666663</v>
      </c>
      <c r="R61" s="12">
        <v>31</v>
      </c>
      <c r="S61" s="33">
        <v>0.88571428571428568</v>
      </c>
      <c r="T61" s="12">
        <v>80</v>
      </c>
      <c r="U61" s="33">
        <v>0.8</v>
      </c>
      <c r="V61" s="13" t="s">
        <v>111</v>
      </c>
      <c r="W61" s="13" t="s">
        <v>823</v>
      </c>
      <c r="X61" s="35">
        <v>46011</v>
      </c>
      <c r="Y61" s="22" t="s">
        <v>1279</v>
      </c>
      <c r="Z61" s="13" t="s">
        <v>845</v>
      </c>
    </row>
    <row r="62" spans="1:26" x14ac:dyDescent="0.25">
      <c r="A62" s="22">
        <v>61</v>
      </c>
      <c r="B62" s="23" t="s">
        <v>904</v>
      </c>
      <c r="C62" s="27" t="s">
        <v>990</v>
      </c>
      <c r="D62" s="12" t="s">
        <v>1077</v>
      </c>
      <c r="E62" s="24" t="s">
        <v>1164</v>
      </c>
      <c r="F62" s="4"/>
      <c r="G62" s="4" t="s">
        <v>1251</v>
      </c>
      <c r="H62" s="31" t="s">
        <v>39</v>
      </c>
      <c r="I62" s="12" t="s">
        <v>34</v>
      </c>
      <c r="J62" s="32" t="s">
        <v>828</v>
      </c>
      <c r="K62" s="12" t="s">
        <v>90</v>
      </c>
      <c r="L62" s="12">
        <v>17</v>
      </c>
      <c r="M62" s="34">
        <v>0.68</v>
      </c>
      <c r="N62" s="12">
        <v>8</v>
      </c>
      <c r="O62" s="33">
        <v>0.8</v>
      </c>
      <c r="P62" s="12">
        <v>26</v>
      </c>
      <c r="Q62" s="33">
        <v>0.8666666666666667</v>
      </c>
      <c r="R62" s="12">
        <v>33</v>
      </c>
      <c r="S62" s="33">
        <v>0.94285714285714284</v>
      </c>
      <c r="T62" s="12">
        <v>84</v>
      </c>
      <c r="U62" s="33">
        <v>0.84</v>
      </c>
      <c r="V62" s="13" t="s">
        <v>111</v>
      </c>
      <c r="W62" s="13" t="s">
        <v>823</v>
      </c>
      <c r="X62" s="35">
        <v>46011</v>
      </c>
      <c r="Y62" s="22" t="s">
        <v>1279</v>
      </c>
      <c r="Z62" s="13" t="s">
        <v>845</v>
      </c>
    </row>
    <row r="63" spans="1:26" x14ac:dyDescent="0.25">
      <c r="A63" s="22">
        <v>62</v>
      </c>
      <c r="B63" s="23" t="s">
        <v>905</v>
      </c>
      <c r="C63" s="27" t="s">
        <v>991</v>
      </c>
      <c r="D63" s="12" t="s">
        <v>1078</v>
      </c>
      <c r="E63" s="24" t="s">
        <v>1165</v>
      </c>
      <c r="F63" s="4"/>
      <c r="G63" s="4" t="s">
        <v>1252</v>
      </c>
      <c r="H63" s="31" t="s">
        <v>39</v>
      </c>
      <c r="I63" s="12" t="s">
        <v>34</v>
      </c>
      <c r="J63" s="32" t="s">
        <v>828</v>
      </c>
      <c r="K63" s="12" t="s">
        <v>90</v>
      </c>
      <c r="L63" s="12">
        <v>17</v>
      </c>
      <c r="M63" s="34">
        <v>0.68</v>
      </c>
      <c r="N63" s="12">
        <v>7</v>
      </c>
      <c r="O63" s="33">
        <v>0.7</v>
      </c>
      <c r="P63" s="12">
        <v>26</v>
      </c>
      <c r="Q63" s="33">
        <v>0.8666666666666667</v>
      </c>
      <c r="R63" s="12">
        <v>29</v>
      </c>
      <c r="S63" s="33">
        <v>0.82857142857142863</v>
      </c>
      <c r="T63" s="12">
        <v>79</v>
      </c>
      <c r="U63" s="33">
        <v>0.79</v>
      </c>
      <c r="V63" s="13" t="s">
        <v>111</v>
      </c>
      <c r="W63" s="13" t="s">
        <v>823</v>
      </c>
      <c r="X63" s="35">
        <v>46011</v>
      </c>
      <c r="Y63" s="22" t="s">
        <v>1279</v>
      </c>
      <c r="Z63" s="13" t="s">
        <v>845</v>
      </c>
    </row>
    <row r="64" spans="1:26" x14ac:dyDescent="0.25">
      <c r="A64" s="22">
        <v>63</v>
      </c>
      <c r="B64" s="23" t="s">
        <v>906</v>
      </c>
      <c r="C64" s="27" t="s">
        <v>992</v>
      </c>
      <c r="D64" s="12" t="s">
        <v>1079</v>
      </c>
      <c r="E64" s="24" t="s">
        <v>1166</v>
      </c>
      <c r="F64" s="4">
        <v>905612939</v>
      </c>
      <c r="G64" s="4" t="s">
        <v>1253</v>
      </c>
      <c r="H64" s="31" t="s">
        <v>39</v>
      </c>
      <c r="I64" s="12" t="s">
        <v>34</v>
      </c>
      <c r="J64" s="32" t="s">
        <v>828</v>
      </c>
      <c r="K64" s="12" t="s">
        <v>90</v>
      </c>
      <c r="L64" s="12">
        <v>16</v>
      </c>
      <c r="M64" s="34">
        <v>0.64</v>
      </c>
      <c r="N64" s="12">
        <v>5</v>
      </c>
      <c r="O64" s="33">
        <v>0.5</v>
      </c>
      <c r="P64" s="12">
        <v>24</v>
      </c>
      <c r="Q64" s="33">
        <v>0.8</v>
      </c>
      <c r="R64" s="12">
        <v>31</v>
      </c>
      <c r="S64" s="33">
        <v>0.88571428571428568</v>
      </c>
      <c r="T64" s="12">
        <v>76</v>
      </c>
      <c r="U64" s="33">
        <v>0.76</v>
      </c>
      <c r="V64" s="13" t="s">
        <v>111</v>
      </c>
      <c r="W64" s="13" t="s">
        <v>823</v>
      </c>
      <c r="X64" s="35">
        <v>46011</v>
      </c>
      <c r="Y64" s="22" t="s">
        <v>1279</v>
      </c>
      <c r="Z64" s="13" t="s">
        <v>1280</v>
      </c>
    </row>
    <row r="65" spans="1:26" x14ac:dyDescent="0.25">
      <c r="A65" s="22">
        <v>64</v>
      </c>
      <c r="B65" s="23" t="s">
        <v>907</v>
      </c>
      <c r="C65" s="27" t="s">
        <v>993</v>
      </c>
      <c r="D65" s="12" t="s">
        <v>1080</v>
      </c>
      <c r="E65" s="24" t="s">
        <v>1167</v>
      </c>
      <c r="F65" s="4"/>
      <c r="G65" s="4" t="s">
        <v>1254</v>
      </c>
      <c r="H65" s="31" t="s">
        <v>39</v>
      </c>
      <c r="I65" s="12" t="s">
        <v>34</v>
      </c>
      <c r="J65" s="32" t="s">
        <v>828</v>
      </c>
      <c r="K65" s="12" t="s">
        <v>90</v>
      </c>
      <c r="L65" s="12">
        <v>11</v>
      </c>
      <c r="M65" s="34">
        <v>0.44</v>
      </c>
      <c r="N65" s="12">
        <v>7</v>
      </c>
      <c r="O65" s="33">
        <v>0.7</v>
      </c>
      <c r="P65" s="12">
        <v>10</v>
      </c>
      <c r="Q65" s="33">
        <v>0.33333333333333331</v>
      </c>
      <c r="R65" s="12">
        <v>30</v>
      </c>
      <c r="S65" s="33">
        <v>0.8571428571428571</v>
      </c>
      <c r="T65" s="12">
        <v>58</v>
      </c>
      <c r="U65" s="33">
        <v>0.57999999999999996</v>
      </c>
      <c r="V65" s="13" t="s">
        <v>111</v>
      </c>
      <c r="W65" s="13" t="s">
        <v>823</v>
      </c>
      <c r="X65" s="35">
        <v>46011</v>
      </c>
      <c r="Y65" s="22" t="s">
        <v>1279</v>
      </c>
      <c r="Z65" s="13" t="s">
        <v>1280</v>
      </c>
    </row>
    <row r="66" spans="1:26" x14ac:dyDescent="0.25">
      <c r="A66" s="22">
        <v>65</v>
      </c>
      <c r="B66" s="23" t="s">
        <v>908</v>
      </c>
      <c r="C66" s="27" t="s">
        <v>994</v>
      </c>
      <c r="D66" s="12" t="s">
        <v>1081</v>
      </c>
      <c r="E66" s="24" t="s">
        <v>1168</v>
      </c>
      <c r="F66" s="4"/>
      <c r="G66" s="4" t="s">
        <v>1255</v>
      </c>
      <c r="H66" s="31" t="s">
        <v>39</v>
      </c>
      <c r="I66" s="12" t="s">
        <v>110</v>
      </c>
      <c r="J66" s="32" t="s">
        <v>828</v>
      </c>
      <c r="K66" s="12" t="s">
        <v>90</v>
      </c>
      <c r="L66" s="12">
        <v>19</v>
      </c>
      <c r="M66" s="34">
        <v>0.76</v>
      </c>
      <c r="N66" s="12">
        <v>9</v>
      </c>
      <c r="O66" s="33">
        <v>0.9</v>
      </c>
      <c r="P66" s="12">
        <v>13</v>
      </c>
      <c r="Q66" s="33">
        <v>0.43333333333333329</v>
      </c>
      <c r="R66" s="12">
        <v>15</v>
      </c>
      <c r="S66" s="33">
        <v>0.42857142857142849</v>
      </c>
      <c r="T66" s="12">
        <v>56</v>
      </c>
      <c r="U66" s="33">
        <v>0.56000000000000005</v>
      </c>
      <c r="V66" s="13" t="s">
        <v>111</v>
      </c>
      <c r="W66" s="13" t="s">
        <v>823</v>
      </c>
      <c r="X66" s="35">
        <v>46011</v>
      </c>
      <c r="Y66" s="22" t="s">
        <v>1279</v>
      </c>
      <c r="Z66" s="13" t="s">
        <v>1280</v>
      </c>
    </row>
    <row r="67" spans="1:26" x14ac:dyDescent="0.25">
      <c r="A67" s="22">
        <v>66</v>
      </c>
      <c r="B67" s="23" t="s">
        <v>909</v>
      </c>
      <c r="C67" s="27" t="s">
        <v>995</v>
      </c>
      <c r="D67" s="12" t="s">
        <v>1082</v>
      </c>
      <c r="E67" s="24" t="s">
        <v>1169</v>
      </c>
      <c r="F67" s="4"/>
      <c r="G67" s="4" t="s">
        <v>1256</v>
      </c>
      <c r="H67" s="31" t="s">
        <v>39</v>
      </c>
      <c r="I67" s="12" t="s">
        <v>110</v>
      </c>
      <c r="J67" s="32" t="s">
        <v>828</v>
      </c>
      <c r="K67" s="12" t="s">
        <v>90</v>
      </c>
      <c r="L67" s="12">
        <v>13</v>
      </c>
      <c r="M67" s="34">
        <v>0.52</v>
      </c>
      <c r="N67" s="12">
        <v>6</v>
      </c>
      <c r="O67" s="33">
        <v>0.6</v>
      </c>
      <c r="P67" s="12">
        <v>13</v>
      </c>
      <c r="Q67" s="33">
        <v>0.43333333333333329</v>
      </c>
      <c r="R67" s="12">
        <v>28</v>
      </c>
      <c r="S67" s="33">
        <v>0.8</v>
      </c>
      <c r="T67" s="12">
        <v>60</v>
      </c>
      <c r="U67" s="33">
        <v>0.6</v>
      </c>
      <c r="V67" s="13" t="s">
        <v>111</v>
      </c>
      <c r="W67" s="13" t="s">
        <v>823</v>
      </c>
      <c r="X67" s="35">
        <v>46011</v>
      </c>
      <c r="Y67" s="22" t="s">
        <v>1279</v>
      </c>
      <c r="Z67" s="13" t="s">
        <v>1280</v>
      </c>
    </row>
    <row r="68" spans="1:26" x14ac:dyDescent="0.25">
      <c r="A68" s="22">
        <v>67</v>
      </c>
      <c r="B68" s="23" t="s">
        <v>910</v>
      </c>
      <c r="C68" s="27" t="s">
        <v>996</v>
      </c>
      <c r="D68" s="12" t="s">
        <v>1083</v>
      </c>
      <c r="E68" s="24" t="s">
        <v>1170</v>
      </c>
      <c r="F68" s="4"/>
      <c r="G68" s="4" t="s">
        <v>1257</v>
      </c>
      <c r="H68" s="31" t="s">
        <v>39</v>
      </c>
      <c r="I68" s="12" t="s">
        <v>110</v>
      </c>
      <c r="J68" s="32" t="s">
        <v>828</v>
      </c>
      <c r="K68" s="12" t="s">
        <v>90</v>
      </c>
      <c r="L68" s="12">
        <v>8</v>
      </c>
      <c r="M68" s="34">
        <v>0.32</v>
      </c>
      <c r="N68" s="12">
        <v>8</v>
      </c>
      <c r="O68" s="33">
        <v>0.8</v>
      </c>
      <c r="P68" s="12">
        <v>23</v>
      </c>
      <c r="Q68" s="33">
        <v>0.76666666666666672</v>
      </c>
      <c r="R68" s="12">
        <v>13</v>
      </c>
      <c r="S68" s="33">
        <v>0.37142857142857139</v>
      </c>
      <c r="T68" s="12">
        <v>52</v>
      </c>
      <c r="U68" s="33">
        <v>0.52</v>
      </c>
      <c r="V68" s="13" t="s">
        <v>111</v>
      </c>
      <c r="W68" s="13" t="s">
        <v>823</v>
      </c>
      <c r="X68" s="35">
        <v>46011</v>
      </c>
      <c r="Y68" s="22" t="s">
        <v>1279</v>
      </c>
      <c r="Z68" s="13" t="s">
        <v>1280</v>
      </c>
    </row>
    <row r="69" spans="1:26" x14ac:dyDescent="0.25">
      <c r="A69" s="22">
        <v>68</v>
      </c>
      <c r="B69" s="23" t="s">
        <v>911</v>
      </c>
      <c r="C69" s="27" t="s">
        <v>997</v>
      </c>
      <c r="D69" s="12" t="s">
        <v>1084</v>
      </c>
      <c r="E69" s="24" t="s">
        <v>1171</v>
      </c>
      <c r="F69" s="4"/>
      <c r="G69" s="4" t="s">
        <v>1258</v>
      </c>
      <c r="H69" s="31" t="s">
        <v>39</v>
      </c>
      <c r="I69" s="12" t="s">
        <v>110</v>
      </c>
      <c r="J69" s="32" t="s">
        <v>828</v>
      </c>
      <c r="K69" s="12" t="s">
        <v>90</v>
      </c>
      <c r="L69" s="12">
        <v>17</v>
      </c>
      <c r="M69" s="34">
        <v>0.68</v>
      </c>
      <c r="N69" s="12">
        <v>8</v>
      </c>
      <c r="O69" s="33">
        <v>0.8</v>
      </c>
      <c r="P69" s="12">
        <v>23</v>
      </c>
      <c r="Q69" s="33">
        <v>0.76666666666666672</v>
      </c>
      <c r="R69" s="12">
        <v>29</v>
      </c>
      <c r="S69" s="33">
        <v>0.82857142857142863</v>
      </c>
      <c r="T69" s="12">
        <v>77</v>
      </c>
      <c r="U69" s="33">
        <v>0.77</v>
      </c>
      <c r="V69" s="13" t="s">
        <v>111</v>
      </c>
      <c r="W69" s="13" t="s">
        <v>823</v>
      </c>
      <c r="X69" s="35">
        <v>46011</v>
      </c>
      <c r="Y69" s="22" t="s">
        <v>1279</v>
      </c>
      <c r="Z69" s="13" t="s">
        <v>845</v>
      </c>
    </row>
    <row r="70" spans="1:26" x14ac:dyDescent="0.25">
      <c r="A70" s="22">
        <v>69</v>
      </c>
      <c r="B70" s="23" t="s">
        <v>912</v>
      </c>
      <c r="C70" s="27" t="s">
        <v>998</v>
      </c>
      <c r="D70" s="12" t="s">
        <v>1085</v>
      </c>
      <c r="E70" s="24" t="s">
        <v>1172</v>
      </c>
      <c r="F70" s="4"/>
      <c r="G70" s="4" t="s">
        <v>1259</v>
      </c>
      <c r="H70" s="31" t="s">
        <v>39</v>
      </c>
      <c r="I70" s="12" t="s">
        <v>110</v>
      </c>
      <c r="J70" s="32" t="s">
        <v>828</v>
      </c>
      <c r="K70" s="12" t="s">
        <v>90</v>
      </c>
      <c r="L70" s="12">
        <v>12</v>
      </c>
      <c r="M70" s="34">
        <v>0.48</v>
      </c>
      <c r="N70" s="12">
        <v>8</v>
      </c>
      <c r="O70" s="33">
        <v>0.8</v>
      </c>
      <c r="P70" s="12">
        <v>23</v>
      </c>
      <c r="Q70" s="33">
        <v>0.76666666666666672</v>
      </c>
      <c r="R70" s="12">
        <v>23</v>
      </c>
      <c r="S70" s="33">
        <v>0.65714285714285714</v>
      </c>
      <c r="T70" s="12">
        <v>66</v>
      </c>
      <c r="U70" s="33">
        <v>0.66</v>
      </c>
      <c r="V70" s="13" t="s">
        <v>111</v>
      </c>
      <c r="W70" s="13" t="s">
        <v>823</v>
      </c>
      <c r="X70" s="35">
        <v>46011</v>
      </c>
      <c r="Y70" s="22" t="s">
        <v>1279</v>
      </c>
      <c r="Z70" s="13" t="s">
        <v>1280</v>
      </c>
    </row>
    <row r="71" spans="1:26" x14ac:dyDescent="0.25">
      <c r="A71" s="22">
        <v>70</v>
      </c>
      <c r="B71" s="23" t="s">
        <v>913</v>
      </c>
      <c r="C71" s="27" t="s">
        <v>999</v>
      </c>
      <c r="D71" s="12" t="s">
        <v>1086</v>
      </c>
      <c r="E71" s="24" t="s">
        <v>1173</v>
      </c>
      <c r="F71" s="4"/>
      <c r="G71" s="4" t="s">
        <v>1260</v>
      </c>
      <c r="H71" s="31" t="s">
        <v>39</v>
      </c>
      <c r="I71" s="12" t="s">
        <v>110</v>
      </c>
      <c r="J71" s="32" t="s">
        <v>828</v>
      </c>
      <c r="K71" s="12" t="s">
        <v>90</v>
      </c>
      <c r="L71" s="12">
        <v>16</v>
      </c>
      <c r="M71" s="34">
        <v>0.64</v>
      </c>
      <c r="N71" s="12">
        <v>8</v>
      </c>
      <c r="O71" s="33">
        <v>0.8</v>
      </c>
      <c r="P71" s="12">
        <v>6</v>
      </c>
      <c r="Q71" s="33">
        <v>0.2</v>
      </c>
      <c r="R71" s="12">
        <v>12</v>
      </c>
      <c r="S71" s="33">
        <v>0.34285714285714292</v>
      </c>
      <c r="T71" s="12">
        <v>42</v>
      </c>
      <c r="U71" s="33">
        <v>0.42</v>
      </c>
      <c r="V71" s="13" t="s">
        <v>111</v>
      </c>
      <c r="W71" s="13" t="s">
        <v>823</v>
      </c>
      <c r="X71" s="35">
        <v>46011</v>
      </c>
      <c r="Y71" s="22" t="s">
        <v>1279</v>
      </c>
      <c r="Z71" s="13" t="s">
        <v>845</v>
      </c>
    </row>
    <row r="72" spans="1:26" x14ac:dyDescent="0.25">
      <c r="A72" s="22">
        <v>71</v>
      </c>
      <c r="B72" s="23" t="s">
        <v>914</v>
      </c>
      <c r="C72" s="27" t="s">
        <v>1000</v>
      </c>
      <c r="D72" s="12" t="s">
        <v>1087</v>
      </c>
      <c r="E72" s="24" t="s">
        <v>1174</v>
      </c>
      <c r="F72" s="4"/>
      <c r="G72" s="4" t="s">
        <v>1261</v>
      </c>
      <c r="H72" s="31" t="s">
        <v>39</v>
      </c>
      <c r="I72" s="12" t="s">
        <v>110</v>
      </c>
      <c r="J72" s="32" t="s">
        <v>828</v>
      </c>
      <c r="K72" s="12" t="s">
        <v>90</v>
      </c>
      <c r="L72" s="12">
        <v>19</v>
      </c>
      <c r="M72" s="34">
        <v>0.76</v>
      </c>
      <c r="N72" s="12">
        <v>8</v>
      </c>
      <c r="O72" s="33">
        <v>0.8</v>
      </c>
      <c r="P72" s="12">
        <v>20</v>
      </c>
      <c r="Q72" s="33">
        <v>0.66666666666666663</v>
      </c>
      <c r="R72" s="12">
        <v>29</v>
      </c>
      <c r="S72" s="33">
        <v>0.82857142857142863</v>
      </c>
      <c r="T72" s="12">
        <v>76</v>
      </c>
      <c r="U72" s="33">
        <v>0.76</v>
      </c>
      <c r="V72" s="13" t="s">
        <v>111</v>
      </c>
      <c r="W72" s="13" t="s">
        <v>823</v>
      </c>
      <c r="X72" s="35">
        <v>46011</v>
      </c>
      <c r="Y72" s="22" t="s">
        <v>1279</v>
      </c>
      <c r="Z72" s="13" t="s">
        <v>845</v>
      </c>
    </row>
    <row r="73" spans="1:26" x14ac:dyDescent="0.25">
      <c r="A73" s="22">
        <v>72</v>
      </c>
      <c r="B73" s="23" t="s">
        <v>915</v>
      </c>
      <c r="C73" s="27" t="s">
        <v>1001</v>
      </c>
      <c r="D73" s="12" t="s">
        <v>1088</v>
      </c>
      <c r="E73" s="24" t="s">
        <v>1175</v>
      </c>
      <c r="F73" s="4"/>
      <c r="G73" s="4" t="s">
        <v>1262</v>
      </c>
      <c r="H73" s="31" t="s">
        <v>39</v>
      </c>
      <c r="I73" s="12" t="s">
        <v>110</v>
      </c>
      <c r="J73" s="32" t="s">
        <v>828</v>
      </c>
      <c r="K73" s="12" t="s">
        <v>90</v>
      </c>
      <c r="L73" s="12">
        <v>19</v>
      </c>
      <c r="M73" s="34">
        <v>0.76</v>
      </c>
      <c r="N73" s="12">
        <v>9</v>
      </c>
      <c r="O73" s="33">
        <v>0.9</v>
      </c>
      <c r="P73" s="12">
        <v>29</v>
      </c>
      <c r="Q73" s="33">
        <v>0.96666666666666667</v>
      </c>
      <c r="R73" s="12">
        <v>29</v>
      </c>
      <c r="S73" s="33">
        <v>0.82857142857142863</v>
      </c>
      <c r="T73" s="12">
        <v>86</v>
      </c>
      <c r="U73" s="33">
        <v>0.86</v>
      </c>
      <c r="V73" s="13" t="s">
        <v>111</v>
      </c>
      <c r="W73" s="13" t="s">
        <v>823</v>
      </c>
      <c r="X73" s="35">
        <v>46011</v>
      </c>
      <c r="Y73" s="22" t="s">
        <v>1279</v>
      </c>
      <c r="Z73" s="13" t="s">
        <v>845</v>
      </c>
    </row>
    <row r="74" spans="1:26" x14ac:dyDescent="0.25">
      <c r="A74" s="22">
        <v>73</v>
      </c>
      <c r="B74" s="23" t="s">
        <v>836</v>
      </c>
      <c r="C74" s="27" t="s">
        <v>837</v>
      </c>
      <c r="D74" s="12" t="s">
        <v>833</v>
      </c>
      <c r="E74" s="24" t="s">
        <v>830</v>
      </c>
      <c r="F74" s="4"/>
      <c r="G74" s="4" t="s">
        <v>841</v>
      </c>
      <c r="H74" s="31" t="s">
        <v>39</v>
      </c>
      <c r="I74" s="12" t="s">
        <v>110</v>
      </c>
      <c r="J74" s="32" t="s">
        <v>827</v>
      </c>
      <c r="K74" s="12" t="s">
        <v>90</v>
      </c>
      <c r="L74" s="12">
        <v>17</v>
      </c>
      <c r="M74" s="34">
        <v>0.68</v>
      </c>
      <c r="N74" s="12">
        <v>7</v>
      </c>
      <c r="O74" s="33">
        <v>0.7</v>
      </c>
      <c r="P74" s="12">
        <v>18</v>
      </c>
      <c r="Q74" s="33">
        <v>0.6</v>
      </c>
      <c r="R74" s="12">
        <v>31</v>
      </c>
      <c r="S74" s="33">
        <v>0.88571428571428568</v>
      </c>
      <c r="T74" s="12">
        <v>73</v>
      </c>
      <c r="U74" s="33">
        <v>0.73</v>
      </c>
      <c r="V74" s="13" t="s">
        <v>111</v>
      </c>
      <c r="W74" s="13" t="s">
        <v>823</v>
      </c>
      <c r="X74" s="35">
        <v>46011</v>
      </c>
      <c r="Y74" s="22" t="s">
        <v>1279</v>
      </c>
      <c r="Z74" s="13" t="s">
        <v>1280</v>
      </c>
    </row>
    <row r="75" spans="1:26" x14ac:dyDescent="0.25">
      <c r="A75" s="22">
        <v>74</v>
      </c>
      <c r="B75" s="23" t="s">
        <v>916</v>
      </c>
      <c r="C75" s="27" t="s">
        <v>1002</v>
      </c>
      <c r="D75" s="12" t="s">
        <v>1089</v>
      </c>
      <c r="E75" s="24" t="s">
        <v>1176</v>
      </c>
      <c r="F75" s="4"/>
      <c r="G75" s="4" t="s">
        <v>1263</v>
      </c>
      <c r="H75" s="31" t="s">
        <v>39</v>
      </c>
      <c r="I75" s="12" t="s">
        <v>110</v>
      </c>
      <c r="J75" s="32" t="s">
        <v>828</v>
      </c>
      <c r="K75" s="12" t="s">
        <v>90</v>
      </c>
      <c r="L75" s="12">
        <v>17</v>
      </c>
      <c r="M75" s="34">
        <v>0.68</v>
      </c>
      <c r="N75" s="12">
        <v>6</v>
      </c>
      <c r="O75" s="33">
        <v>0.6</v>
      </c>
      <c r="P75" s="12">
        <v>22</v>
      </c>
      <c r="Q75" s="33">
        <v>0.73333333333333328</v>
      </c>
      <c r="R75" s="12">
        <v>31</v>
      </c>
      <c r="S75" s="33">
        <v>0.88571428571428568</v>
      </c>
      <c r="T75" s="12">
        <v>76</v>
      </c>
      <c r="U75" s="33">
        <v>0.76</v>
      </c>
      <c r="V75" s="13" t="s">
        <v>111</v>
      </c>
      <c r="W75" s="13" t="s">
        <v>823</v>
      </c>
      <c r="X75" s="35">
        <v>46011</v>
      </c>
      <c r="Y75" s="22" t="s">
        <v>1279</v>
      </c>
      <c r="Z75" s="13" t="s">
        <v>1280</v>
      </c>
    </row>
    <row r="76" spans="1:26" x14ac:dyDescent="0.25">
      <c r="A76" s="22">
        <v>75</v>
      </c>
      <c r="B76" s="23" t="s">
        <v>917</v>
      </c>
      <c r="C76" s="27" t="s">
        <v>1003</v>
      </c>
      <c r="D76" s="12" t="s">
        <v>1090</v>
      </c>
      <c r="E76" s="24" t="s">
        <v>1177</v>
      </c>
      <c r="F76" s="4"/>
      <c r="G76" s="4" t="s">
        <v>1264</v>
      </c>
      <c r="H76" s="31" t="s">
        <v>39</v>
      </c>
      <c r="I76" s="12" t="s">
        <v>110</v>
      </c>
      <c r="J76" s="32" t="s">
        <v>828</v>
      </c>
      <c r="K76" s="12" t="s">
        <v>90</v>
      </c>
      <c r="L76" s="12">
        <v>20</v>
      </c>
      <c r="M76" s="34">
        <v>0.8</v>
      </c>
      <c r="N76" s="12">
        <v>9</v>
      </c>
      <c r="O76" s="33">
        <v>0.9</v>
      </c>
      <c r="P76" s="12">
        <v>28</v>
      </c>
      <c r="Q76" s="33">
        <v>0.93333333333333335</v>
      </c>
      <c r="R76" s="12">
        <v>28</v>
      </c>
      <c r="S76" s="33">
        <v>0.8</v>
      </c>
      <c r="T76" s="12">
        <v>85</v>
      </c>
      <c r="U76" s="33">
        <v>0.85</v>
      </c>
      <c r="V76" s="13" t="s">
        <v>111</v>
      </c>
      <c r="W76" s="13" t="s">
        <v>823</v>
      </c>
      <c r="X76" s="35">
        <v>46011</v>
      </c>
      <c r="Y76" s="22" t="s">
        <v>1279</v>
      </c>
      <c r="Z76" s="13" t="s">
        <v>845</v>
      </c>
    </row>
    <row r="77" spans="1:26" x14ac:dyDescent="0.25">
      <c r="A77" s="22">
        <v>76</v>
      </c>
      <c r="B77" s="23" t="s">
        <v>918</v>
      </c>
      <c r="C77" s="27" t="s">
        <v>1004</v>
      </c>
      <c r="D77" s="12" t="s">
        <v>1091</v>
      </c>
      <c r="E77" s="24" t="s">
        <v>1178</v>
      </c>
      <c r="F77" s="4"/>
      <c r="G77" s="4" t="s">
        <v>1265</v>
      </c>
      <c r="H77" s="31" t="s">
        <v>39</v>
      </c>
      <c r="I77" s="12" t="s">
        <v>110</v>
      </c>
      <c r="J77" s="32" t="s">
        <v>824</v>
      </c>
      <c r="K77" s="12" t="s">
        <v>90</v>
      </c>
      <c r="L77" s="12">
        <v>22</v>
      </c>
      <c r="M77" s="34">
        <v>0.88</v>
      </c>
      <c r="N77" s="12">
        <v>9</v>
      </c>
      <c r="O77" s="33">
        <v>0.9</v>
      </c>
      <c r="P77" s="12">
        <v>21</v>
      </c>
      <c r="Q77" s="33">
        <v>0.7</v>
      </c>
      <c r="R77" s="12">
        <v>28</v>
      </c>
      <c r="S77" s="33">
        <v>0.8</v>
      </c>
      <c r="T77" s="12">
        <v>80</v>
      </c>
      <c r="U77" s="33">
        <v>0.8</v>
      </c>
      <c r="V77" s="13" t="s">
        <v>111</v>
      </c>
      <c r="W77" s="13" t="s">
        <v>823</v>
      </c>
      <c r="X77" s="35">
        <v>46011</v>
      </c>
      <c r="Y77" s="22" t="s">
        <v>1279</v>
      </c>
      <c r="Z77" s="13" t="s">
        <v>845</v>
      </c>
    </row>
    <row r="78" spans="1:26" x14ac:dyDescent="0.25">
      <c r="A78" s="22">
        <v>77</v>
      </c>
      <c r="B78" s="23" t="s">
        <v>919</v>
      </c>
      <c r="C78" s="27" t="s">
        <v>1005</v>
      </c>
      <c r="D78" s="12" t="s">
        <v>1092</v>
      </c>
      <c r="E78" s="24" t="s">
        <v>1179</v>
      </c>
      <c r="F78" s="4">
        <v>935020096</v>
      </c>
      <c r="G78" s="4" t="s">
        <v>1266</v>
      </c>
      <c r="H78" s="31" t="s">
        <v>39</v>
      </c>
      <c r="I78" s="12" t="s">
        <v>110</v>
      </c>
      <c r="J78" s="32" t="s">
        <v>828</v>
      </c>
      <c r="K78" s="12" t="s">
        <v>90</v>
      </c>
      <c r="L78" s="12">
        <v>21</v>
      </c>
      <c r="M78" s="34">
        <v>0.84</v>
      </c>
      <c r="N78" s="12">
        <v>9</v>
      </c>
      <c r="O78" s="33">
        <v>0.9</v>
      </c>
      <c r="P78" s="12">
        <v>26</v>
      </c>
      <c r="Q78" s="33">
        <v>0.8666666666666667</v>
      </c>
      <c r="R78" s="12">
        <v>33</v>
      </c>
      <c r="S78" s="33">
        <v>0.94285714285714284</v>
      </c>
      <c r="T78" s="12">
        <v>89</v>
      </c>
      <c r="U78" s="33">
        <v>0.89</v>
      </c>
      <c r="V78" s="13" t="s">
        <v>111</v>
      </c>
      <c r="W78" s="13" t="s">
        <v>823</v>
      </c>
      <c r="X78" s="35">
        <v>46011</v>
      </c>
      <c r="Y78" s="22" t="s">
        <v>1279</v>
      </c>
      <c r="Z78" s="13" t="s">
        <v>845</v>
      </c>
    </row>
    <row r="79" spans="1:26" x14ac:dyDescent="0.25">
      <c r="A79" s="22">
        <v>78</v>
      </c>
      <c r="B79" s="23" t="s">
        <v>920</v>
      </c>
      <c r="C79" s="27" t="s">
        <v>1006</v>
      </c>
      <c r="D79" s="12" t="s">
        <v>1093</v>
      </c>
      <c r="E79" s="24" t="s">
        <v>1180</v>
      </c>
      <c r="F79" s="4"/>
      <c r="G79" s="4" t="s">
        <v>1267</v>
      </c>
      <c r="H79" s="31" t="s">
        <v>39</v>
      </c>
      <c r="I79" s="12" t="s">
        <v>110</v>
      </c>
      <c r="J79" s="32" t="s">
        <v>828</v>
      </c>
      <c r="K79" s="12" t="s">
        <v>90</v>
      </c>
      <c r="L79" s="12">
        <v>19</v>
      </c>
      <c r="M79" s="34">
        <v>0.76</v>
      </c>
      <c r="N79" s="12">
        <v>7</v>
      </c>
      <c r="O79" s="33">
        <v>0.7</v>
      </c>
      <c r="P79" s="12">
        <v>17</v>
      </c>
      <c r="Q79" s="33">
        <v>0.56666666666666665</v>
      </c>
      <c r="R79" s="12">
        <v>29</v>
      </c>
      <c r="S79" s="33">
        <v>0.82857142857142863</v>
      </c>
      <c r="T79" s="12">
        <v>72</v>
      </c>
      <c r="U79" s="33">
        <v>0.72</v>
      </c>
      <c r="V79" s="13" t="s">
        <v>111</v>
      </c>
      <c r="W79" s="13" t="s">
        <v>823</v>
      </c>
      <c r="X79" s="35">
        <v>46011</v>
      </c>
      <c r="Y79" s="22" t="s">
        <v>1279</v>
      </c>
      <c r="Z79" s="13" t="s">
        <v>1280</v>
      </c>
    </row>
    <row r="80" spans="1:26" x14ac:dyDescent="0.25">
      <c r="A80" s="22">
        <v>79</v>
      </c>
      <c r="B80" s="23" t="s">
        <v>921</v>
      </c>
      <c r="C80" s="27" t="s">
        <v>1007</v>
      </c>
      <c r="D80" s="12" t="s">
        <v>1094</v>
      </c>
      <c r="E80" s="24" t="s">
        <v>1181</v>
      </c>
      <c r="F80" s="4"/>
      <c r="G80" s="4" t="s">
        <v>1268</v>
      </c>
      <c r="H80" s="31" t="s">
        <v>39</v>
      </c>
      <c r="I80" s="12" t="s">
        <v>110</v>
      </c>
      <c r="J80" s="32" t="s">
        <v>828</v>
      </c>
      <c r="K80" s="12" t="s">
        <v>90</v>
      </c>
      <c r="L80" s="12">
        <v>17</v>
      </c>
      <c r="M80" s="34">
        <v>0.68</v>
      </c>
      <c r="N80" s="12">
        <v>9</v>
      </c>
      <c r="O80" s="33">
        <v>0.9</v>
      </c>
      <c r="P80" s="12">
        <v>25</v>
      </c>
      <c r="Q80" s="33">
        <v>0.83333333333333337</v>
      </c>
      <c r="R80" s="12">
        <v>31</v>
      </c>
      <c r="S80" s="33">
        <v>0.88571428571428568</v>
      </c>
      <c r="T80" s="12">
        <v>82</v>
      </c>
      <c r="U80" s="33">
        <v>0.82</v>
      </c>
      <c r="V80" s="13" t="s">
        <v>111</v>
      </c>
      <c r="W80" s="13" t="s">
        <v>823</v>
      </c>
      <c r="X80" s="35">
        <v>46011</v>
      </c>
      <c r="Y80" s="22" t="s">
        <v>1279</v>
      </c>
      <c r="Z80" s="13" t="s">
        <v>1280</v>
      </c>
    </row>
    <row r="81" spans="1:26" x14ac:dyDescent="0.25">
      <c r="A81" s="22">
        <v>80</v>
      </c>
      <c r="B81" s="23" t="s">
        <v>922</v>
      </c>
      <c r="C81" s="27" t="s">
        <v>1008</v>
      </c>
      <c r="D81" s="12" t="s">
        <v>1095</v>
      </c>
      <c r="E81" s="24" t="s">
        <v>1182</v>
      </c>
      <c r="F81" s="4"/>
      <c r="G81" s="4" t="s">
        <v>1269</v>
      </c>
      <c r="H81" s="31" t="s">
        <v>39</v>
      </c>
      <c r="I81" s="12" t="s">
        <v>110</v>
      </c>
      <c r="J81" s="32" t="s">
        <v>828</v>
      </c>
      <c r="K81" s="12" t="s">
        <v>90</v>
      </c>
      <c r="L81" s="12">
        <v>14</v>
      </c>
      <c r="M81" s="34">
        <v>0.56000000000000005</v>
      </c>
      <c r="N81" s="12">
        <v>7</v>
      </c>
      <c r="O81" s="33">
        <v>0.7</v>
      </c>
      <c r="P81" s="12">
        <v>8</v>
      </c>
      <c r="Q81" s="33">
        <v>0.26666666666666672</v>
      </c>
      <c r="R81" s="12">
        <v>12</v>
      </c>
      <c r="S81" s="33">
        <v>0.34285714285714292</v>
      </c>
      <c r="T81" s="12">
        <v>41</v>
      </c>
      <c r="U81" s="33">
        <v>0.41</v>
      </c>
      <c r="V81" s="13" t="s">
        <v>111</v>
      </c>
      <c r="W81" s="13" t="s">
        <v>823</v>
      </c>
      <c r="X81" s="35">
        <v>46011</v>
      </c>
      <c r="Y81" s="22" t="s">
        <v>1279</v>
      </c>
      <c r="Z81" s="13" t="s">
        <v>845</v>
      </c>
    </row>
    <row r="82" spans="1:26" x14ac:dyDescent="0.25">
      <c r="A82" s="22">
        <v>81</v>
      </c>
      <c r="B82" s="23" t="s">
        <v>923</v>
      </c>
      <c r="C82" s="27" t="s">
        <v>1009</v>
      </c>
      <c r="D82" s="12" t="s">
        <v>1096</v>
      </c>
      <c r="E82" s="24" t="s">
        <v>1183</v>
      </c>
      <c r="F82" s="4"/>
      <c r="G82" s="4" t="s">
        <v>1270</v>
      </c>
      <c r="H82" s="31" t="s">
        <v>39</v>
      </c>
      <c r="I82" s="12" t="s">
        <v>110</v>
      </c>
      <c r="J82" s="32" t="s">
        <v>828</v>
      </c>
      <c r="K82" s="12" t="s">
        <v>90</v>
      </c>
      <c r="L82" s="12">
        <v>21</v>
      </c>
      <c r="M82" s="34">
        <v>0.84</v>
      </c>
      <c r="N82" s="12">
        <v>7</v>
      </c>
      <c r="O82" s="33">
        <v>0.7</v>
      </c>
      <c r="P82" s="12">
        <v>25</v>
      </c>
      <c r="Q82" s="33">
        <v>0.83333333333333337</v>
      </c>
      <c r="R82" s="12">
        <v>32</v>
      </c>
      <c r="S82" s="33">
        <v>0.91428571428571426</v>
      </c>
      <c r="T82" s="12">
        <v>85</v>
      </c>
      <c r="U82" s="33">
        <v>0.85</v>
      </c>
      <c r="V82" s="13" t="s">
        <v>111</v>
      </c>
      <c r="W82" s="13" t="s">
        <v>823</v>
      </c>
      <c r="X82" s="35">
        <v>46011</v>
      </c>
      <c r="Y82" s="22" t="s">
        <v>1279</v>
      </c>
      <c r="Z82" s="13" t="s">
        <v>1280</v>
      </c>
    </row>
    <row r="83" spans="1:26" x14ac:dyDescent="0.25">
      <c r="A83" s="22">
        <v>82</v>
      </c>
      <c r="B83" s="23" t="s">
        <v>924</v>
      </c>
      <c r="C83" s="27" t="s">
        <v>1010</v>
      </c>
      <c r="D83" s="12" t="s">
        <v>1097</v>
      </c>
      <c r="E83" s="24" t="s">
        <v>1184</v>
      </c>
      <c r="F83" s="4"/>
      <c r="G83" s="4" t="s">
        <v>1271</v>
      </c>
      <c r="H83" s="31" t="s">
        <v>39</v>
      </c>
      <c r="I83" s="12" t="s">
        <v>110</v>
      </c>
      <c r="J83" s="32" t="s">
        <v>828</v>
      </c>
      <c r="K83" s="12" t="s">
        <v>90</v>
      </c>
      <c r="L83" s="12">
        <v>20</v>
      </c>
      <c r="M83" s="34">
        <v>0.8</v>
      </c>
      <c r="N83" s="12">
        <v>8</v>
      </c>
      <c r="O83" s="33">
        <v>0.8</v>
      </c>
      <c r="P83" s="12">
        <v>26</v>
      </c>
      <c r="Q83" s="33">
        <v>0.8666666666666667</v>
      </c>
      <c r="R83" s="12">
        <v>22</v>
      </c>
      <c r="S83" s="33">
        <v>0.62857142857142856</v>
      </c>
      <c r="T83" s="12">
        <v>76</v>
      </c>
      <c r="U83" s="33">
        <v>0.76</v>
      </c>
      <c r="V83" s="13" t="s">
        <v>111</v>
      </c>
      <c r="W83" s="13" t="s">
        <v>823</v>
      </c>
      <c r="X83" s="35">
        <v>46011</v>
      </c>
      <c r="Y83" s="22" t="s">
        <v>1279</v>
      </c>
      <c r="Z83" s="13" t="s">
        <v>1280</v>
      </c>
    </row>
    <row r="84" spans="1:26" x14ac:dyDescent="0.25">
      <c r="A84" s="22">
        <v>83</v>
      </c>
      <c r="B84" s="23" t="s">
        <v>847</v>
      </c>
      <c r="C84" s="27" t="s">
        <v>1011</v>
      </c>
      <c r="D84" s="12" t="s">
        <v>1098</v>
      </c>
      <c r="E84" s="24" t="s">
        <v>1185</v>
      </c>
      <c r="F84" s="4"/>
      <c r="G84" s="4" t="s">
        <v>1272</v>
      </c>
      <c r="H84" s="31" t="s">
        <v>39</v>
      </c>
      <c r="I84" s="12" t="s">
        <v>110</v>
      </c>
      <c r="J84" s="32" t="s">
        <v>828</v>
      </c>
      <c r="K84" s="12" t="s">
        <v>90</v>
      </c>
      <c r="L84" s="12">
        <v>15</v>
      </c>
      <c r="M84" s="34">
        <v>0.6</v>
      </c>
      <c r="N84" s="12">
        <v>6</v>
      </c>
      <c r="O84" s="33">
        <v>0.6</v>
      </c>
      <c r="P84" s="12">
        <v>16</v>
      </c>
      <c r="Q84" s="33">
        <v>0.53333333333333333</v>
      </c>
      <c r="R84" s="12">
        <v>29</v>
      </c>
      <c r="S84" s="33">
        <v>0.82857142857142863</v>
      </c>
      <c r="T84" s="12">
        <v>66</v>
      </c>
      <c r="U84" s="33">
        <v>0.66</v>
      </c>
      <c r="V84" s="13" t="s">
        <v>111</v>
      </c>
      <c r="W84" s="13" t="s">
        <v>823</v>
      </c>
      <c r="X84" s="35">
        <v>46011</v>
      </c>
      <c r="Y84" s="22" t="s">
        <v>1279</v>
      </c>
      <c r="Z84" s="13" t="s">
        <v>1280</v>
      </c>
    </row>
    <row r="85" spans="1:26" x14ac:dyDescent="0.25">
      <c r="A85" s="22">
        <v>84</v>
      </c>
      <c r="B85" s="23" t="s">
        <v>925</v>
      </c>
      <c r="C85" s="27" t="s">
        <v>1012</v>
      </c>
      <c r="D85" s="12" t="s">
        <v>1099</v>
      </c>
      <c r="E85" s="24" t="s">
        <v>1186</v>
      </c>
      <c r="F85" s="4"/>
      <c r="G85" s="4" t="s">
        <v>1273</v>
      </c>
      <c r="H85" s="31" t="s">
        <v>39</v>
      </c>
      <c r="I85" s="12" t="s">
        <v>110</v>
      </c>
      <c r="J85" s="32" t="s">
        <v>828</v>
      </c>
      <c r="K85" s="12" t="s">
        <v>90</v>
      </c>
      <c r="L85" s="12">
        <v>13</v>
      </c>
      <c r="M85" s="34">
        <v>0.52</v>
      </c>
      <c r="N85" s="12">
        <v>4</v>
      </c>
      <c r="O85" s="33">
        <v>0.4</v>
      </c>
      <c r="P85" s="12">
        <v>21</v>
      </c>
      <c r="Q85" s="33">
        <v>0.7</v>
      </c>
      <c r="R85" s="12">
        <v>29</v>
      </c>
      <c r="S85" s="33">
        <v>0.82857142857142863</v>
      </c>
      <c r="T85" s="12">
        <v>67</v>
      </c>
      <c r="U85" s="33">
        <v>0.67</v>
      </c>
      <c r="V85" s="13" t="s">
        <v>111</v>
      </c>
      <c r="W85" s="13" t="s">
        <v>823</v>
      </c>
      <c r="X85" s="35">
        <v>46011</v>
      </c>
      <c r="Y85" s="22" t="s">
        <v>1279</v>
      </c>
      <c r="Z85" s="13" t="s">
        <v>1280</v>
      </c>
    </row>
    <row r="86" spans="1:26" x14ac:dyDescent="0.25">
      <c r="A86" s="22">
        <v>85</v>
      </c>
      <c r="B86" s="23" t="s">
        <v>926</v>
      </c>
      <c r="C86" s="27" t="s">
        <v>1013</v>
      </c>
      <c r="D86" s="12" t="s">
        <v>1100</v>
      </c>
      <c r="E86" s="24" t="s">
        <v>1187</v>
      </c>
      <c r="F86" s="4"/>
      <c r="G86" s="4" t="s">
        <v>1274</v>
      </c>
      <c r="H86" s="31" t="s">
        <v>39</v>
      </c>
      <c r="I86" s="12" t="s">
        <v>110</v>
      </c>
      <c r="J86" s="32" t="s">
        <v>828</v>
      </c>
      <c r="K86" s="12" t="s">
        <v>90</v>
      </c>
      <c r="L86" s="12">
        <v>12</v>
      </c>
      <c r="M86" s="34">
        <v>0.48</v>
      </c>
      <c r="N86" s="12">
        <v>3</v>
      </c>
      <c r="O86" s="33">
        <v>0.3</v>
      </c>
      <c r="P86" s="12">
        <v>23</v>
      </c>
      <c r="Q86" s="33">
        <v>0.76666666666666672</v>
      </c>
      <c r="R86" s="12">
        <v>29</v>
      </c>
      <c r="S86" s="33">
        <v>0.82857142857142863</v>
      </c>
      <c r="T86" s="12">
        <v>67</v>
      </c>
      <c r="U86" s="33">
        <v>0.67</v>
      </c>
      <c r="V86" s="13" t="s">
        <v>111</v>
      </c>
      <c r="W86" s="13" t="s">
        <v>823</v>
      </c>
      <c r="X86" s="35">
        <v>46011</v>
      </c>
      <c r="Y86" s="22" t="s">
        <v>1279</v>
      </c>
      <c r="Z86" s="13" t="s">
        <v>845</v>
      </c>
    </row>
    <row r="87" spans="1:26" x14ac:dyDescent="0.25">
      <c r="A87" s="22">
        <v>86</v>
      </c>
      <c r="B87" s="23" t="s">
        <v>927</v>
      </c>
      <c r="C87" s="27" t="s">
        <v>1014</v>
      </c>
      <c r="D87" s="12" t="s">
        <v>1101</v>
      </c>
      <c r="E87" s="24" t="s">
        <v>1188</v>
      </c>
      <c r="F87" s="4"/>
      <c r="G87" s="4" t="s">
        <v>1275</v>
      </c>
      <c r="H87" s="31" t="s">
        <v>39</v>
      </c>
      <c r="I87" s="12" t="s">
        <v>110</v>
      </c>
      <c r="J87" s="32" t="s">
        <v>824</v>
      </c>
      <c r="K87" s="12" t="s">
        <v>90</v>
      </c>
      <c r="L87" s="12">
        <v>11</v>
      </c>
      <c r="M87" s="34">
        <v>0.44</v>
      </c>
      <c r="N87" s="12">
        <v>7</v>
      </c>
      <c r="O87" s="33">
        <v>0.7</v>
      </c>
      <c r="P87" s="12">
        <v>9</v>
      </c>
      <c r="Q87" s="33">
        <v>0.3</v>
      </c>
      <c r="R87" s="12">
        <v>12</v>
      </c>
      <c r="S87" s="33">
        <v>0.34285714285714292</v>
      </c>
      <c r="T87" s="12">
        <v>39</v>
      </c>
      <c r="U87" s="33">
        <v>0.39</v>
      </c>
      <c r="V87" s="13" t="s">
        <v>111</v>
      </c>
      <c r="W87" s="13" t="s">
        <v>823</v>
      </c>
      <c r="X87" s="35">
        <v>46011</v>
      </c>
      <c r="Y87" s="22" t="s">
        <v>1279</v>
      </c>
      <c r="Z87" s="13" t="s">
        <v>1280</v>
      </c>
    </row>
    <row r="88" spans="1:26" x14ac:dyDescent="0.25">
      <c r="A88" s="47">
        <v>87</v>
      </c>
      <c r="B88" s="58" t="s">
        <v>928</v>
      </c>
      <c r="C88" s="59" t="s">
        <v>1015</v>
      </c>
      <c r="D88" s="42" t="s">
        <v>1102</v>
      </c>
      <c r="E88" s="37" t="s">
        <v>1189</v>
      </c>
      <c r="F88" s="39"/>
      <c r="G88" s="39" t="s">
        <v>1276</v>
      </c>
      <c r="H88" s="60" t="s">
        <v>39</v>
      </c>
      <c r="I88" s="42" t="s">
        <v>110</v>
      </c>
      <c r="J88" s="41" t="s">
        <v>828</v>
      </c>
      <c r="K88" s="42" t="s">
        <v>90</v>
      </c>
      <c r="L88" s="42">
        <v>20</v>
      </c>
      <c r="M88" s="43">
        <v>0.8</v>
      </c>
      <c r="N88" s="42">
        <v>9</v>
      </c>
      <c r="O88" s="44">
        <v>0.9</v>
      </c>
      <c r="P88" s="42">
        <v>26</v>
      </c>
      <c r="Q88" s="44">
        <v>0.8666666666666667</v>
      </c>
      <c r="R88" s="42">
        <v>27</v>
      </c>
      <c r="S88" s="44">
        <v>0.77142857142857146</v>
      </c>
      <c r="T88" s="42">
        <v>82</v>
      </c>
      <c r="U88" s="44">
        <v>0.82</v>
      </c>
      <c r="V88" s="45" t="s">
        <v>111</v>
      </c>
      <c r="W88" s="45" t="s">
        <v>823</v>
      </c>
      <c r="X88" s="46">
        <v>46011</v>
      </c>
      <c r="Y88" s="47" t="s">
        <v>1279</v>
      </c>
      <c r="Z88" s="45" t="s">
        <v>1280</v>
      </c>
    </row>
    <row r="89" spans="1:26" s="29" customFormat="1" x14ac:dyDescent="0.25">
      <c r="A89" s="4">
        <v>88</v>
      </c>
      <c r="B89" s="21" t="s">
        <v>929</v>
      </c>
      <c r="C89" s="21" t="s">
        <v>1016</v>
      </c>
      <c r="D89" s="12" t="s">
        <v>1103</v>
      </c>
      <c r="E89" s="4" t="s">
        <v>1190</v>
      </c>
      <c r="F89" s="4">
        <v>973114702</v>
      </c>
      <c r="G89" s="4" t="s">
        <v>1277</v>
      </c>
      <c r="H89" s="12" t="s">
        <v>39</v>
      </c>
      <c r="I89" s="12" t="s">
        <v>110</v>
      </c>
      <c r="J89" s="12" t="s">
        <v>828</v>
      </c>
      <c r="K89" s="12" t="s">
        <v>90</v>
      </c>
      <c r="L89" s="12">
        <v>8</v>
      </c>
      <c r="M89" s="66">
        <v>0.32</v>
      </c>
      <c r="N89" s="12">
        <v>5</v>
      </c>
      <c r="O89" s="11">
        <v>0.5</v>
      </c>
      <c r="P89" s="12">
        <v>13</v>
      </c>
      <c r="Q89" s="11">
        <v>0.43333333333333329</v>
      </c>
      <c r="R89" s="12">
        <v>15</v>
      </c>
      <c r="S89" s="11">
        <v>0.42857142857142849</v>
      </c>
      <c r="T89" s="12">
        <v>41</v>
      </c>
      <c r="U89" s="11">
        <v>0.41</v>
      </c>
      <c r="V89" s="13" t="s">
        <v>111</v>
      </c>
      <c r="W89" s="13" t="s">
        <v>823</v>
      </c>
      <c r="X89" s="35">
        <v>46011</v>
      </c>
      <c r="Y89" s="4" t="s">
        <v>1279</v>
      </c>
      <c r="Z89" s="13" t="s">
        <v>1280</v>
      </c>
    </row>
    <row r="90" spans="1:26" x14ac:dyDescent="0.25">
      <c r="A90" s="4">
        <v>89</v>
      </c>
      <c r="B90" s="69" t="s">
        <v>835</v>
      </c>
      <c r="C90" s="21" t="s">
        <v>1283</v>
      </c>
      <c r="D90" s="12" t="s">
        <v>832</v>
      </c>
      <c r="E90" s="4" t="s">
        <v>829</v>
      </c>
      <c r="F90" s="4"/>
      <c r="G90" s="4" t="s">
        <v>840</v>
      </c>
      <c r="H90" s="12" t="s">
        <v>38</v>
      </c>
      <c r="I90" s="12" t="s">
        <v>826</v>
      </c>
      <c r="J90" s="12" t="s">
        <v>824</v>
      </c>
      <c r="K90" s="12" t="s">
        <v>108</v>
      </c>
      <c r="L90" s="12" t="s">
        <v>1307</v>
      </c>
      <c r="M90" s="12" t="s">
        <v>1307</v>
      </c>
      <c r="N90" s="12" t="s">
        <v>1307</v>
      </c>
      <c r="O90" s="12" t="s">
        <v>1307</v>
      </c>
      <c r="P90" s="12" t="s">
        <v>1307</v>
      </c>
      <c r="Q90" s="12" t="s">
        <v>1307</v>
      </c>
      <c r="R90" s="12" t="s">
        <v>1307</v>
      </c>
      <c r="S90" s="12" t="s">
        <v>1307</v>
      </c>
      <c r="T90" s="12" t="s">
        <v>1307</v>
      </c>
      <c r="U90" s="12" t="s">
        <v>1307</v>
      </c>
      <c r="V90" s="12" t="s">
        <v>1307</v>
      </c>
      <c r="W90" s="12" t="s">
        <v>1307</v>
      </c>
      <c r="X90" s="12" t="s">
        <v>1307</v>
      </c>
      <c r="Y90" s="12" t="s">
        <v>1307</v>
      </c>
      <c r="Z90" s="12" t="s">
        <v>1307</v>
      </c>
    </row>
    <row r="91" spans="1:26" x14ac:dyDescent="0.25">
      <c r="A91" s="4">
        <v>90</v>
      </c>
      <c r="B91" s="21" t="s">
        <v>1282</v>
      </c>
      <c r="C91" s="21" t="s">
        <v>1281</v>
      </c>
      <c r="D91" s="12" t="s">
        <v>1292</v>
      </c>
      <c r="E91" s="4" t="s">
        <v>1293</v>
      </c>
      <c r="F91" s="4"/>
      <c r="G91" s="4" t="s">
        <v>1294</v>
      </c>
      <c r="H91" s="12" t="s">
        <v>41</v>
      </c>
      <c r="I91" s="12" t="s">
        <v>50</v>
      </c>
      <c r="J91" s="12" t="s">
        <v>824</v>
      </c>
      <c r="K91" s="12" t="s">
        <v>108</v>
      </c>
      <c r="L91" s="12" t="s">
        <v>1307</v>
      </c>
      <c r="M91" s="12" t="s">
        <v>1307</v>
      </c>
      <c r="N91" s="12" t="s">
        <v>1307</v>
      </c>
      <c r="O91" s="12" t="s">
        <v>1307</v>
      </c>
      <c r="P91" s="12" t="s">
        <v>1307</v>
      </c>
      <c r="Q91" s="12" t="s">
        <v>1307</v>
      </c>
      <c r="R91" s="12" t="s">
        <v>1307</v>
      </c>
      <c r="S91" s="12" t="s">
        <v>1307</v>
      </c>
      <c r="T91" s="12" t="s">
        <v>1307</v>
      </c>
      <c r="U91" s="12" t="s">
        <v>1307</v>
      </c>
      <c r="V91" s="12" t="s">
        <v>1307</v>
      </c>
      <c r="W91" s="12" t="s">
        <v>1307</v>
      </c>
      <c r="X91" s="12" t="s">
        <v>1307</v>
      </c>
      <c r="Y91" s="12" t="s">
        <v>1307</v>
      </c>
      <c r="Z91" s="12" t="s">
        <v>1307</v>
      </c>
    </row>
    <row r="92" spans="1:26" x14ac:dyDescent="0.25">
      <c r="A92" s="4">
        <v>91</v>
      </c>
      <c r="B92" s="29" t="s">
        <v>1290</v>
      </c>
      <c r="C92" s="21" t="s">
        <v>1291</v>
      </c>
      <c r="D92" s="12" t="s">
        <v>1295</v>
      </c>
      <c r="E92" s="4" t="s">
        <v>1303</v>
      </c>
      <c r="F92" s="4"/>
      <c r="G92" s="4" t="s">
        <v>1299</v>
      </c>
      <c r="H92" s="12" t="s">
        <v>41</v>
      </c>
      <c r="I92" s="12" t="s">
        <v>1278</v>
      </c>
      <c r="J92" s="12" t="s">
        <v>45</v>
      </c>
      <c r="K92" s="12" t="s">
        <v>108</v>
      </c>
      <c r="L92" s="12" t="s">
        <v>1307</v>
      </c>
      <c r="M92" s="12" t="s">
        <v>1307</v>
      </c>
      <c r="N92" s="12" t="s">
        <v>1307</v>
      </c>
      <c r="O92" s="12" t="s">
        <v>1307</v>
      </c>
      <c r="P92" s="12" t="s">
        <v>1307</v>
      </c>
      <c r="Q92" s="12" t="s">
        <v>1307</v>
      </c>
      <c r="R92" s="12" t="s">
        <v>1307</v>
      </c>
      <c r="S92" s="12" t="s">
        <v>1307</v>
      </c>
      <c r="T92" s="12" t="s">
        <v>1307</v>
      </c>
      <c r="U92" s="12" t="s">
        <v>1307</v>
      </c>
      <c r="V92" s="12" t="s">
        <v>1307</v>
      </c>
      <c r="W92" s="12" t="s">
        <v>1307</v>
      </c>
      <c r="X92" s="12" t="s">
        <v>1307</v>
      </c>
      <c r="Y92" s="12" t="s">
        <v>1307</v>
      </c>
      <c r="Z92" s="12" t="s">
        <v>1307</v>
      </c>
    </row>
    <row r="93" spans="1:26" x14ac:dyDescent="0.25">
      <c r="A93" s="4">
        <v>92</v>
      </c>
      <c r="B93" s="29" t="s">
        <v>1288</v>
      </c>
      <c r="C93" s="21" t="s">
        <v>1289</v>
      </c>
      <c r="D93" s="12" t="s">
        <v>1296</v>
      </c>
      <c r="E93" s="4" t="s">
        <v>1304</v>
      </c>
      <c r="F93" s="4"/>
      <c r="G93" s="4" t="s">
        <v>1300</v>
      </c>
      <c r="H93" s="12" t="s">
        <v>41</v>
      </c>
      <c r="I93" s="12" t="s">
        <v>50</v>
      </c>
      <c r="J93" s="12" t="s">
        <v>824</v>
      </c>
      <c r="K93" s="12" t="s">
        <v>108</v>
      </c>
      <c r="L93" s="12" t="s">
        <v>1307</v>
      </c>
      <c r="M93" s="12" t="s">
        <v>1307</v>
      </c>
      <c r="N93" s="12" t="s">
        <v>1307</v>
      </c>
      <c r="O93" s="12" t="s">
        <v>1307</v>
      </c>
      <c r="P93" s="12" t="s">
        <v>1307</v>
      </c>
      <c r="Q93" s="12" t="s">
        <v>1307</v>
      </c>
      <c r="R93" s="12" t="s">
        <v>1307</v>
      </c>
      <c r="S93" s="12" t="s">
        <v>1307</v>
      </c>
      <c r="T93" s="12" t="s">
        <v>1307</v>
      </c>
      <c r="U93" s="12" t="s">
        <v>1307</v>
      </c>
      <c r="V93" s="12" t="s">
        <v>1307</v>
      </c>
      <c r="W93" s="12" t="s">
        <v>1307</v>
      </c>
      <c r="X93" s="12" t="s">
        <v>1307</v>
      </c>
      <c r="Y93" s="12" t="s">
        <v>1307</v>
      </c>
      <c r="Z93" s="12" t="s">
        <v>1307</v>
      </c>
    </row>
    <row r="94" spans="1:26" x14ac:dyDescent="0.25">
      <c r="A94" s="4">
        <v>93</v>
      </c>
      <c r="B94" s="29" t="s">
        <v>1286</v>
      </c>
      <c r="C94" s="21" t="s">
        <v>1287</v>
      </c>
      <c r="D94" s="12" t="s">
        <v>1297</v>
      </c>
      <c r="E94" s="4" t="s">
        <v>1305</v>
      </c>
      <c r="F94" s="4"/>
      <c r="G94" s="4" t="s">
        <v>1301</v>
      </c>
      <c r="H94" s="12" t="s">
        <v>41</v>
      </c>
      <c r="I94" s="12" t="s">
        <v>50</v>
      </c>
      <c r="J94" s="32" t="s">
        <v>828</v>
      </c>
      <c r="K94" s="12" t="s">
        <v>108</v>
      </c>
      <c r="L94" s="12" t="s">
        <v>1307</v>
      </c>
      <c r="M94" s="12" t="s">
        <v>1307</v>
      </c>
      <c r="N94" s="12" t="s">
        <v>1307</v>
      </c>
      <c r="O94" s="12" t="s">
        <v>1307</v>
      </c>
      <c r="P94" s="12" t="s">
        <v>1307</v>
      </c>
      <c r="Q94" s="12" t="s">
        <v>1307</v>
      </c>
      <c r="R94" s="12" t="s">
        <v>1307</v>
      </c>
      <c r="S94" s="12" t="s">
        <v>1307</v>
      </c>
      <c r="T94" s="12" t="s">
        <v>1307</v>
      </c>
      <c r="U94" s="12" t="s">
        <v>1307</v>
      </c>
      <c r="V94" s="12" t="s">
        <v>1307</v>
      </c>
      <c r="W94" s="12" t="s">
        <v>1307</v>
      </c>
      <c r="X94" s="12" t="s">
        <v>1307</v>
      </c>
      <c r="Y94" s="12" t="s">
        <v>1307</v>
      </c>
      <c r="Z94" s="12" t="s">
        <v>1307</v>
      </c>
    </row>
    <row r="95" spans="1:26" x14ac:dyDescent="0.25">
      <c r="A95" s="4">
        <v>94</v>
      </c>
      <c r="B95" s="29" t="s">
        <v>838</v>
      </c>
      <c r="C95" s="21" t="s">
        <v>839</v>
      </c>
      <c r="D95" s="12" t="s">
        <v>834</v>
      </c>
      <c r="E95" s="4" t="s">
        <v>831</v>
      </c>
      <c r="F95" s="4"/>
      <c r="G95" s="4" t="s">
        <v>842</v>
      </c>
      <c r="H95" s="12" t="s">
        <v>41</v>
      </c>
      <c r="I95" s="12" t="s">
        <v>50</v>
      </c>
      <c r="J95" s="32" t="s">
        <v>828</v>
      </c>
      <c r="K95" s="12" t="s">
        <v>108</v>
      </c>
      <c r="L95" s="12" t="s">
        <v>1307</v>
      </c>
      <c r="M95" s="12" t="s">
        <v>1307</v>
      </c>
      <c r="N95" s="12" t="s">
        <v>1307</v>
      </c>
      <c r="O95" s="12" t="s">
        <v>1307</v>
      </c>
      <c r="P95" s="12" t="s">
        <v>1307</v>
      </c>
      <c r="Q95" s="12" t="s">
        <v>1307</v>
      </c>
      <c r="R95" s="12" t="s">
        <v>1307</v>
      </c>
      <c r="S95" s="12" t="s">
        <v>1307</v>
      </c>
      <c r="T95" s="12" t="s">
        <v>1307</v>
      </c>
      <c r="U95" s="12" t="s">
        <v>1307</v>
      </c>
      <c r="V95" s="12" t="s">
        <v>1307</v>
      </c>
      <c r="W95" s="12" t="s">
        <v>1307</v>
      </c>
      <c r="X95" s="12" t="s">
        <v>1307</v>
      </c>
      <c r="Y95" s="12" t="s">
        <v>1307</v>
      </c>
      <c r="Z95" s="12" t="s">
        <v>1307</v>
      </c>
    </row>
    <row r="96" spans="1:26" x14ac:dyDescent="0.25">
      <c r="A96" s="4">
        <v>95</v>
      </c>
      <c r="B96" s="29" t="s">
        <v>1285</v>
      </c>
      <c r="C96" s="21" t="s">
        <v>1284</v>
      </c>
      <c r="D96" s="12" t="s">
        <v>1298</v>
      </c>
      <c r="E96" s="4" t="s">
        <v>1306</v>
      </c>
      <c r="F96" s="4"/>
      <c r="G96" s="4" t="s">
        <v>1302</v>
      </c>
      <c r="H96" s="12" t="s">
        <v>39</v>
      </c>
      <c r="I96" s="12" t="s">
        <v>110</v>
      </c>
      <c r="J96" s="32" t="s">
        <v>828</v>
      </c>
      <c r="K96" s="12" t="s">
        <v>108</v>
      </c>
      <c r="L96" s="12" t="s">
        <v>1307</v>
      </c>
      <c r="M96" s="12" t="s">
        <v>1307</v>
      </c>
      <c r="N96" s="12" t="s">
        <v>1307</v>
      </c>
      <c r="O96" s="12" t="s">
        <v>1307</v>
      </c>
      <c r="P96" s="12" t="s">
        <v>1307</v>
      </c>
      <c r="Q96" s="12" t="s">
        <v>1307</v>
      </c>
      <c r="R96" s="12" t="s">
        <v>1307</v>
      </c>
      <c r="S96" s="12" t="s">
        <v>1307</v>
      </c>
      <c r="T96" s="12" t="s">
        <v>1307</v>
      </c>
      <c r="U96" s="12" t="s">
        <v>1307</v>
      </c>
      <c r="V96" s="12" t="s">
        <v>1307</v>
      </c>
      <c r="W96" s="12" t="s">
        <v>1307</v>
      </c>
      <c r="X96" s="12" t="s">
        <v>1307</v>
      </c>
      <c r="Y96" s="12" t="s">
        <v>1307</v>
      </c>
      <c r="Z96" s="12" t="s">
        <v>1307</v>
      </c>
    </row>
    <row r="97" spans="1:26" x14ac:dyDescent="0.25">
      <c r="A97" s="10"/>
      <c r="D97" s="9"/>
      <c r="E97" s="10"/>
      <c r="F97" s="10"/>
      <c r="G97" s="10"/>
      <c r="H97" s="9"/>
      <c r="I97" s="9"/>
      <c r="J97" s="9"/>
      <c r="K97" s="9"/>
      <c r="L97" s="9"/>
      <c r="M97" s="67"/>
      <c r="N97" s="9"/>
      <c r="O97" s="68"/>
      <c r="P97" s="9"/>
      <c r="Q97" s="68"/>
      <c r="R97" s="9"/>
      <c r="S97" s="68"/>
      <c r="T97" s="9"/>
      <c r="U97" s="68"/>
      <c r="V97" s="64"/>
      <c r="W97" s="64"/>
      <c r="X97" s="65"/>
      <c r="Y97" s="10"/>
      <c r="Z97" s="64"/>
    </row>
    <row r="98" spans="1:26" x14ac:dyDescent="0.25">
      <c r="A98" s="10"/>
      <c r="D98" s="9"/>
      <c r="E98" s="10"/>
      <c r="F98" s="10"/>
      <c r="G98" s="10"/>
      <c r="H98" s="9"/>
      <c r="I98" s="9"/>
      <c r="J98" s="9"/>
      <c r="K98" s="9"/>
      <c r="L98" s="9"/>
      <c r="M98" s="67"/>
      <c r="N98" s="9"/>
      <c r="O98" s="68"/>
      <c r="P98" s="9"/>
      <c r="Q98" s="68"/>
      <c r="R98" s="9"/>
      <c r="S98" s="68"/>
      <c r="T98" s="9"/>
      <c r="U98" s="68"/>
      <c r="V98" s="64"/>
      <c r="W98" s="64"/>
      <c r="X98" s="65"/>
      <c r="Y98" s="10"/>
      <c r="Z98" s="64"/>
    </row>
    <row r="99" spans="1:26" x14ac:dyDescent="0.25">
      <c r="A99" s="10"/>
      <c r="D99" s="9"/>
      <c r="E99" s="10"/>
      <c r="F99" s="10"/>
      <c r="G99" s="10"/>
      <c r="H99" s="9"/>
      <c r="I99" s="9"/>
      <c r="J99" s="9"/>
      <c r="K99" s="9"/>
      <c r="L99" s="9"/>
      <c r="M99" s="67"/>
      <c r="N99" s="9"/>
      <c r="O99" s="68"/>
      <c r="P99" s="9"/>
      <c r="Q99" s="68"/>
      <c r="R99" s="9"/>
      <c r="S99" s="68"/>
      <c r="T99" s="9"/>
      <c r="U99" s="68"/>
      <c r="V99" s="64"/>
      <c r="W99" s="64"/>
      <c r="X99" s="65"/>
      <c r="Y99" s="10"/>
      <c r="Z99" s="64"/>
    </row>
    <row r="100" spans="1:26" x14ac:dyDescent="0.25">
      <c r="A100" s="10"/>
      <c r="D100" s="9"/>
      <c r="E100" s="10"/>
      <c r="F100" s="10"/>
      <c r="G100" s="10"/>
      <c r="H100" s="9"/>
      <c r="I100" s="9"/>
      <c r="J100" s="9"/>
      <c r="K100" s="9"/>
      <c r="L100" s="9"/>
      <c r="M100" s="67"/>
      <c r="N100" s="9"/>
      <c r="O100" s="68"/>
      <c r="P100" s="9"/>
      <c r="Q100" s="68"/>
      <c r="R100" s="9"/>
      <c r="S100" s="68"/>
      <c r="T100" s="9"/>
      <c r="U100" s="68"/>
      <c r="V100" s="64"/>
      <c r="W100" s="64"/>
      <c r="X100" s="65"/>
      <c r="Y100" s="10"/>
      <c r="Z100" s="64"/>
    </row>
    <row r="101" spans="1:26" x14ac:dyDescent="0.25">
      <c r="A101" s="10"/>
      <c r="D101" s="9"/>
      <c r="E101" s="10"/>
      <c r="F101" s="10"/>
      <c r="G101" s="10"/>
      <c r="H101" s="9"/>
      <c r="I101" s="9"/>
      <c r="J101" s="9"/>
      <c r="K101" s="9"/>
      <c r="L101" s="9"/>
      <c r="M101" s="67"/>
      <c r="N101" s="9"/>
      <c r="O101" s="68"/>
      <c r="P101" s="9"/>
      <c r="Q101" s="68"/>
      <c r="R101" s="9"/>
      <c r="S101" s="68"/>
      <c r="T101" s="9"/>
      <c r="U101" s="68"/>
      <c r="V101" s="64"/>
      <c r="W101" s="64"/>
      <c r="X101" s="65"/>
      <c r="Y101" s="10"/>
      <c r="Z101" s="64"/>
    </row>
    <row r="102" spans="1:26" x14ac:dyDescent="0.25">
      <c r="A102" s="10"/>
      <c r="D102" s="9"/>
      <c r="E102" s="10"/>
      <c r="F102" s="10"/>
      <c r="G102" s="10"/>
      <c r="H102" s="9"/>
      <c r="I102" s="9"/>
      <c r="J102" s="9"/>
      <c r="K102" s="9"/>
      <c r="L102" s="9"/>
      <c r="M102" s="67"/>
      <c r="N102" s="9"/>
      <c r="O102" s="68"/>
      <c r="P102" s="9"/>
      <c r="Q102" s="68"/>
      <c r="R102" s="9"/>
      <c r="S102" s="68"/>
      <c r="T102" s="9"/>
      <c r="U102" s="68"/>
      <c r="V102" s="64"/>
      <c r="W102" s="64"/>
      <c r="X102" s="65"/>
      <c r="Y102" s="10"/>
      <c r="Z102" s="64"/>
    </row>
    <row r="103" spans="1:26" x14ac:dyDescent="0.25">
      <c r="A103" s="10"/>
      <c r="D103" s="9"/>
      <c r="E103" s="10"/>
      <c r="F103" s="10"/>
      <c r="G103" s="10"/>
      <c r="H103" s="9"/>
      <c r="I103" s="9"/>
      <c r="J103" s="9"/>
      <c r="K103" s="9"/>
      <c r="L103" s="9"/>
      <c r="M103" s="67"/>
      <c r="N103" s="9"/>
      <c r="O103" s="68"/>
      <c r="P103" s="9"/>
      <c r="Q103" s="68"/>
      <c r="R103" s="9"/>
      <c r="S103" s="68"/>
      <c r="T103" s="9"/>
      <c r="U103" s="68"/>
      <c r="V103" s="64"/>
      <c r="W103" s="64"/>
      <c r="X103" s="65"/>
      <c r="Y103" s="10"/>
      <c r="Z103" s="64"/>
    </row>
    <row r="104" spans="1:26" x14ac:dyDescent="0.25">
      <c r="A104" s="10"/>
      <c r="D104" s="9"/>
      <c r="E104" s="10"/>
      <c r="F104" s="10"/>
      <c r="G104" s="10"/>
      <c r="H104" s="9"/>
      <c r="I104" s="9"/>
      <c r="J104" s="9"/>
      <c r="K104" s="9"/>
      <c r="L104" s="9"/>
      <c r="M104" s="67"/>
      <c r="N104" s="9"/>
      <c r="O104" s="68"/>
      <c r="P104" s="9"/>
      <c r="Q104" s="68"/>
      <c r="R104" s="9"/>
      <c r="S104" s="68"/>
      <c r="T104" s="9"/>
      <c r="U104" s="68"/>
      <c r="V104" s="64"/>
      <c r="W104" s="64"/>
      <c r="X104" s="65"/>
      <c r="Y104" s="10"/>
      <c r="Z104" s="64"/>
    </row>
    <row r="105" spans="1:26" x14ac:dyDescent="0.25">
      <c r="A105" s="10"/>
      <c r="D105" s="9"/>
      <c r="E105" s="10"/>
      <c r="F105" s="10"/>
      <c r="G105" s="10"/>
      <c r="H105" s="9"/>
      <c r="I105" s="9"/>
      <c r="J105" s="9"/>
      <c r="K105" s="9"/>
      <c r="L105" s="9"/>
      <c r="M105" s="67"/>
      <c r="N105" s="9"/>
      <c r="O105" s="68"/>
      <c r="P105" s="9"/>
      <c r="Q105" s="68"/>
      <c r="R105" s="9"/>
      <c r="S105" s="68"/>
      <c r="T105" s="9"/>
      <c r="U105" s="68"/>
      <c r="V105" s="64"/>
      <c r="W105" s="64"/>
      <c r="X105" s="65"/>
      <c r="Y105" s="10"/>
      <c r="Z105" s="64"/>
    </row>
    <row r="106" spans="1:26" x14ac:dyDescent="0.25">
      <c r="A106" s="10"/>
      <c r="D106" s="9"/>
      <c r="E106" s="10"/>
      <c r="F106" s="10"/>
      <c r="G106" s="10"/>
      <c r="H106" s="9"/>
      <c r="I106" s="9"/>
      <c r="J106" s="9"/>
      <c r="K106" s="9"/>
      <c r="L106" s="9"/>
      <c r="M106" s="67"/>
      <c r="N106" s="9"/>
      <c r="O106" s="68"/>
      <c r="P106" s="9"/>
      <c r="Q106" s="68"/>
      <c r="R106" s="9"/>
      <c r="S106" s="68"/>
      <c r="T106" s="9"/>
      <c r="U106" s="68"/>
      <c r="V106" s="64"/>
      <c r="W106" s="64"/>
      <c r="X106" s="65"/>
      <c r="Y106" s="10"/>
      <c r="Z106" s="64"/>
    </row>
    <row r="107" spans="1:26" x14ac:dyDescent="0.25">
      <c r="A107" s="10"/>
      <c r="D107" s="9"/>
      <c r="E107" s="10"/>
      <c r="F107" s="10"/>
      <c r="G107" s="10"/>
      <c r="H107" s="9"/>
      <c r="I107" s="9"/>
      <c r="J107" s="9"/>
      <c r="K107" s="9"/>
      <c r="L107" s="9"/>
      <c r="M107" s="67"/>
      <c r="N107" s="9"/>
      <c r="O107" s="68"/>
      <c r="P107" s="9"/>
      <c r="Q107" s="68"/>
      <c r="R107" s="9"/>
      <c r="S107" s="68"/>
      <c r="T107" s="9"/>
      <c r="U107" s="68"/>
      <c r="V107" s="64"/>
      <c r="W107" s="64"/>
      <c r="X107" s="65"/>
      <c r="Y107" s="10"/>
      <c r="Z107" s="64"/>
    </row>
    <row r="108" spans="1:26" x14ac:dyDescent="0.25">
      <c r="A108" s="10"/>
      <c r="D108" s="9"/>
      <c r="E108" s="10"/>
      <c r="F108" s="10"/>
      <c r="G108" s="10"/>
      <c r="H108" s="9"/>
      <c r="I108" s="9"/>
      <c r="J108" s="9"/>
      <c r="K108" s="9"/>
      <c r="L108" s="9"/>
      <c r="M108" s="67"/>
      <c r="N108" s="9"/>
      <c r="O108" s="68"/>
      <c r="P108" s="9"/>
      <c r="Q108" s="68"/>
      <c r="R108" s="9"/>
      <c r="S108" s="68"/>
      <c r="T108" s="9"/>
      <c r="U108" s="68"/>
      <c r="V108" s="64"/>
      <c r="W108" s="64"/>
      <c r="X108" s="65"/>
      <c r="Y108" s="10"/>
      <c r="Z108" s="64"/>
    </row>
    <row r="109" spans="1:26" x14ac:dyDescent="0.25">
      <c r="A109" s="10"/>
      <c r="D109" s="9"/>
      <c r="E109" s="10"/>
      <c r="F109" s="10"/>
      <c r="G109" s="10"/>
      <c r="H109" s="9"/>
      <c r="I109" s="9"/>
      <c r="J109" s="9"/>
      <c r="K109" s="9"/>
      <c r="L109" s="9"/>
      <c r="M109" s="67"/>
      <c r="N109" s="9"/>
      <c r="O109" s="68"/>
      <c r="P109" s="9"/>
      <c r="Q109" s="68"/>
      <c r="R109" s="9"/>
      <c r="S109" s="68"/>
      <c r="T109" s="9"/>
      <c r="U109" s="68"/>
      <c r="V109" s="64"/>
      <c r="W109" s="64"/>
      <c r="X109" s="65"/>
      <c r="Y109" s="10"/>
      <c r="Z109" s="64"/>
    </row>
    <row r="110" spans="1:26" x14ac:dyDescent="0.25">
      <c r="A110" s="10"/>
      <c r="D110" s="9"/>
      <c r="E110" s="10"/>
      <c r="F110" s="10"/>
      <c r="G110" s="10"/>
      <c r="H110" s="9"/>
      <c r="I110" s="9"/>
      <c r="J110" s="9"/>
      <c r="K110" s="9"/>
      <c r="L110" s="9"/>
      <c r="M110" s="67"/>
      <c r="N110" s="9"/>
      <c r="O110" s="68"/>
      <c r="P110" s="9"/>
      <c r="Q110" s="68"/>
      <c r="R110" s="9"/>
      <c r="S110" s="68"/>
      <c r="T110" s="9"/>
      <c r="U110" s="68"/>
      <c r="V110" s="64"/>
      <c r="W110" s="64"/>
      <c r="X110" s="65"/>
      <c r="Y110" s="10"/>
      <c r="Z110" s="64"/>
    </row>
    <row r="111" spans="1:26" x14ac:dyDescent="0.25">
      <c r="A111" s="10"/>
      <c r="D111" s="9"/>
      <c r="E111" s="10"/>
      <c r="F111" s="10"/>
      <c r="G111" s="10"/>
      <c r="H111" s="9"/>
      <c r="I111" s="9"/>
      <c r="J111" s="9"/>
      <c r="K111" s="9"/>
      <c r="L111" s="9"/>
      <c r="M111" s="67"/>
      <c r="N111" s="9"/>
      <c r="O111" s="68"/>
      <c r="P111" s="9"/>
      <c r="Q111" s="68"/>
      <c r="R111" s="9"/>
      <c r="S111" s="68"/>
      <c r="T111" s="9"/>
      <c r="U111" s="68"/>
      <c r="V111" s="64"/>
      <c r="W111" s="64"/>
      <c r="X111" s="65"/>
      <c r="Y111" s="10"/>
      <c r="Z111" s="64"/>
    </row>
    <row r="112" spans="1:26" x14ac:dyDescent="0.25">
      <c r="A112" s="10"/>
      <c r="D112" s="9"/>
      <c r="E112" s="10"/>
      <c r="F112" s="10"/>
      <c r="G112" s="10"/>
      <c r="H112" s="9"/>
      <c r="I112" s="9"/>
      <c r="J112" s="9"/>
      <c r="K112" s="9"/>
      <c r="L112" s="9"/>
      <c r="M112" s="67"/>
      <c r="N112" s="9"/>
      <c r="O112" s="68"/>
      <c r="P112" s="9"/>
      <c r="Q112" s="68"/>
      <c r="R112" s="9"/>
      <c r="S112" s="68"/>
      <c r="T112" s="9"/>
      <c r="U112" s="68"/>
      <c r="V112" s="64"/>
      <c r="W112" s="64"/>
      <c r="X112" s="65"/>
      <c r="Y112" s="10"/>
      <c r="Z112" s="64"/>
    </row>
    <row r="113" spans="1:26" x14ac:dyDescent="0.25">
      <c r="A113" s="10"/>
      <c r="D113" s="9"/>
      <c r="E113" s="10"/>
      <c r="F113" s="10"/>
      <c r="G113" s="10"/>
      <c r="H113" s="9"/>
      <c r="I113" s="9"/>
      <c r="J113" s="9"/>
      <c r="K113" s="9"/>
      <c r="L113" s="9"/>
      <c r="M113" s="67"/>
      <c r="N113" s="9"/>
      <c r="O113" s="68"/>
      <c r="P113" s="9"/>
      <c r="Q113" s="68"/>
      <c r="R113" s="9"/>
      <c r="S113" s="68"/>
      <c r="T113" s="9"/>
      <c r="U113" s="68"/>
      <c r="V113" s="64"/>
      <c r="W113" s="64"/>
      <c r="X113" s="65"/>
      <c r="Y113" s="10"/>
      <c r="Z113" s="64"/>
    </row>
    <row r="114" spans="1:26" x14ac:dyDescent="0.25">
      <c r="A114" s="10"/>
      <c r="D114" s="9"/>
      <c r="E114" s="10"/>
      <c r="F114" s="10"/>
      <c r="G114" s="10"/>
      <c r="H114" s="9"/>
      <c r="I114" s="9"/>
      <c r="J114" s="9"/>
      <c r="K114" s="9"/>
      <c r="L114" s="9"/>
      <c r="M114" s="67"/>
      <c r="N114" s="9"/>
      <c r="O114" s="68"/>
      <c r="P114" s="9"/>
      <c r="Q114" s="68"/>
      <c r="R114" s="9"/>
      <c r="S114" s="68"/>
      <c r="T114" s="9"/>
      <c r="U114" s="68"/>
      <c r="V114" s="64"/>
      <c r="W114" s="64"/>
      <c r="X114" s="65"/>
      <c r="Y114" s="10"/>
      <c r="Z114" s="64"/>
    </row>
    <row r="115" spans="1:26" x14ac:dyDescent="0.25">
      <c r="A115" s="10"/>
      <c r="D115" s="9"/>
      <c r="E115" s="10"/>
      <c r="F115" s="10"/>
      <c r="G115" s="10"/>
      <c r="H115" s="9"/>
      <c r="I115" s="9"/>
      <c r="J115" s="9"/>
      <c r="K115" s="9"/>
      <c r="L115" s="9"/>
      <c r="M115" s="67"/>
      <c r="N115" s="9"/>
      <c r="O115" s="68"/>
      <c r="P115" s="9"/>
      <c r="Q115" s="68"/>
      <c r="R115" s="9"/>
      <c r="S115" s="68"/>
      <c r="T115" s="9"/>
      <c r="U115" s="68"/>
      <c r="V115" s="64"/>
      <c r="W115" s="64"/>
      <c r="X115" s="65"/>
      <c r="Y115" s="10"/>
      <c r="Z115" s="64"/>
    </row>
    <row r="116" spans="1:26" x14ac:dyDescent="0.25">
      <c r="A116" s="10"/>
      <c r="D116" s="9"/>
      <c r="E116" s="10"/>
      <c r="F116" s="10"/>
      <c r="G116" s="10"/>
      <c r="H116" s="9"/>
      <c r="I116" s="9"/>
      <c r="J116" s="9"/>
      <c r="K116" s="9"/>
      <c r="L116" s="9"/>
      <c r="M116" s="67"/>
      <c r="N116" s="9"/>
      <c r="O116" s="68"/>
      <c r="P116" s="9"/>
      <c r="Q116" s="68"/>
      <c r="R116" s="9"/>
      <c r="S116" s="68"/>
      <c r="T116" s="9"/>
      <c r="U116" s="68"/>
      <c r="V116" s="64"/>
      <c r="W116" s="64"/>
      <c r="X116" s="65"/>
      <c r="Y116" s="10"/>
      <c r="Z116" s="64"/>
    </row>
    <row r="117" spans="1:26" x14ac:dyDescent="0.25">
      <c r="A117" s="10"/>
      <c r="D117" s="9"/>
      <c r="E117" s="10"/>
      <c r="F117" s="10"/>
      <c r="G117" s="10"/>
      <c r="H117" s="9"/>
      <c r="I117" s="9"/>
      <c r="J117" s="9"/>
      <c r="K117" s="9"/>
      <c r="L117" s="9"/>
      <c r="M117" s="67"/>
      <c r="N117" s="9"/>
      <c r="O117" s="68"/>
      <c r="P117" s="9"/>
      <c r="Q117" s="68"/>
      <c r="R117" s="9"/>
      <c r="S117" s="68"/>
      <c r="T117" s="9"/>
      <c r="U117" s="68"/>
      <c r="V117" s="64"/>
      <c r="W117" s="64"/>
      <c r="X117" s="65"/>
      <c r="Y117" s="10"/>
      <c r="Z117" s="64"/>
    </row>
    <row r="118" spans="1:26" x14ac:dyDescent="0.25">
      <c r="A118" s="10"/>
      <c r="D118" s="9"/>
      <c r="E118" s="10"/>
      <c r="F118" s="10"/>
      <c r="G118" s="10"/>
      <c r="H118" s="9"/>
      <c r="I118" s="9"/>
      <c r="J118" s="9"/>
      <c r="K118" s="9"/>
      <c r="L118" s="9"/>
      <c r="M118" s="67"/>
      <c r="N118" s="9"/>
      <c r="O118" s="68"/>
      <c r="P118" s="9"/>
      <c r="Q118" s="68"/>
      <c r="R118" s="9"/>
      <c r="S118" s="68"/>
      <c r="T118" s="9"/>
      <c r="U118" s="68"/>
      <c r="V118" s="64"/>
      <c r="W118" s="64"/>
      <c r="X118" s="65"/>
      <c r="Y118" s="10"/>
      <c r="Z118" s="64"/>
    </row>
    <row r="119" spans="1:26" x14ac:dyDescent="0.25">
      <c r="A119" s="10"/>
      <c r="D119" s="9"/>
      <c r="E119" s="9"/>
      <c r="F119" s="10"/>
      <c r="G119" s="10"/>
      <c r="H119" s="9"/>
      <c r="I119" s="9"/>
      <c r="J119" s="10"/>
      <c r="K119" s="9"/>
      <c r="Z119" s="64"/>
    </row>
    <row r="120" spans="1:26" x14ac:dyDescent="0.25">
      <c r="A120" s="10"/>
      <c r="D120" s="9"/>
      <c r="E120" s="9"/>
      <c r="F120" s="10"/>
      <c r="G120" s="10"/>
      <c r="H120" s="9"/>
      <c r="I120" s="9"/>
      <c r="J120" s="10"/>
      <c r="K120" s="9"/>
      <c r="Z120" s="64"/>
    </row>
    <row r="121" spans="1:26" x14ac:dyDescent="0.25">
      <c r="A121" s="10"/>
      <c r="D121" s="9"/>
      <c r="E121" s="9"/>
      <c r="F121" s="10"/>
      <c r="G121" s="10"/>
      <c r="H121" s="9"/>
      <c r="I121" s="9"/>
      <c r="J121" s="10"/>
      <c r="K121" s="9"/>
      <c r="Z121" s="64"/>
    </row>
    <row r="122" spans="1:26" x14ac:dyDescent="0.25">
      <c r="A122" s="10"/>
      <c r="D122" s="9"/>
      <c r="E122" s="9"/>
      <c r="F122" s="10"/>
      <c r="G122" s="10"/>
      <c r="H122" s="10"/>
      <c r="I122" s="9"/>
      <c r="J122" s="10"/>
      <c r="K122" s="9"/>
      <c r="Z122" s="64"/>
    </row>
  </sheetData>
  <autoFilter ref="A1:Z89" xr:uid="{AF0537DE-8505-46BC-8662-5FC63B1257A0}"/>
  <sortState xmlns:xlrd2="http://schemas.microsoft.com/office/spreadsheetml/2017/richdata2" ref="A2:Z15">
    <sortCondition ref="I2:I15"/>
    <sortCondition descending="1" ref="T2:T15"/>
    <sortCondition ref="K2:K15"/>
    <sortCondition ref="V2:V15"/>
  </sortState>
  <phoneticPr fontId="3" type="noConversion"/>
  <conditionalFormatting sqref="D2:D15">
    <cfRule type="duplicateValues" dxfId="15" priority="129"/>
  </conditionalFormatting>
  <conditionalFormatting sqref="M2:M89 O2:O89 Q2:Q89 S2:S89 U2:U89 M97:M118 O97:O118 Q97:Q118 S97:S118 U97:U118">
    <cfRule type="cellIs" dxfId="14" priority="10" operator="lessThanOrEqual">
      <formula>0.5</formula>
    </cfRule>
    <cfRule type="cellIs" dxfId="13" priority="1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B720-DB50-455B-B586-41BB1837008A}">
  <dimension ref="A1:H256"/>
  <sheetViews>
    <sheetView zoomScale="80" zoomScaleNormal="80" workbookViewId="0">
      <selection activeCell="I7" sqref="I7"/>
    </sheetView>
  </sheetViews>
  <sheetFormatPr baseColWidth="10" defaultRowHeight="15" x14ac:dyDescent="0.25"/>
  <cols>
    <col min="1" max="1" width="30.42578125" customWidth="1"/>
    <col min="2" max="2" width="13.42578125" customWidth="1"/>
    <col min="3" max="3" width="55" bestFit="1" customWidth="1"/>
    <col min="4" max="4" width="35.5703125" customWidth="1"/>
    <col min="5" max="5" width="34.28515625" customWidth="1"/>
    <col min="6" max="6" width="27.28515625" customWidth="1"/>
    <col min="7" max="7" width="32.28515625" bestFit="1" customWidth="1"/>
    <col min="8" max="8" width="74.140625" customWidth="1"/>
  </cols>
  <sheetData>
    <row r="1" spans="1:8" x14ac:dyDescent="0.25">
      <c r="A1" s="1" t="s">
        <v>3</v>
      </c>
      <c r="B1" s="1" t="s">
        <v>76</v>
      </c>
      <c r="C1" s="1" t="s">
        <v>87</v>
      </c>
      <c r="D1" s="1" t="s">
        <v>91</v>
      </c>
      <c r="E1" s="1" t="s">
        <v>92</v>
      </c>
      <c r="F1" s="1" t="s">
        <v>95</v>
      </c>
      <c r="G1" s="1" t="s">
        <v>93</v>
      </c>
      <c r="H1" s="1" t="s">
        <v>94</v>
      </c>
    </row>
    <row r="2" spans="1:8" x14ac:dyDescent="0.25">
      <c r="A2" s="15">
        <v>60584665</v>
      </c>
      <c r="B2" s="15"/>
      <c r="C2" s="4" t="s">
        <v>106</v>
      </c>
      <c r="D2" s="16" t="s">
        <v>117</v>
      </c>
      <c r="E2" s="16" t="s">
        <v>257</v>
      </c>
      <c r="F2" s="15" t="s">
        <v>397</v>
      </c>
      <c r="G2" s="15" t="s">
        <v>539</v>
      </c>
      <c r="H2" s="16" t="s">
        <v>681</v>
      </c>
    </row>
    <row r="3" spans="1:8" x14ac:dyDescent="0.25">
      <c r="A3" s="15">
        <v>61747247</v>
      </c>
      <c r="B3" s="15"/>
      <c r="C3" s="4" t="s">
        <v>105</v>
      </c>
      <c r="D3" s="16" t="s">
        <v>118</v>
      </c>
      <c r="E3" s="16" t="s">
        <v>258</v>
      </c>
      <c r="F3" s="15" t="s">
        <v>398</v>
      </c>
      <c r="G3" s="15" t="s">
        <v>540</v>
      </c>
      <c r="H3" s="16" t="s">
        <v>682</v>
      </c>
    </row>
    <row r="4" spans="1:8" x14ac:dyDescent="0.25">
      <c r="A4" s="15">
        <v>79950632</v>
      </c>
      <c r="B4" s="15"/>
      <c r="C4" s="4" t="s">
        <v>105</v>
      </c>
      <c r="D4" s="16" t="s">
        <v>119</v>
      </c>
      <c r="E4" s="16" t="s">
        <v>259</v>
      </c>
      <c r="F4" s="15" t="s">
        <v>399</v>
      </c>
      <c r="G4" s="15" t="s">
        <v>541</v>
      </c>
      <c r="H4" s="16" t="s">
        <v>683</v>
      </c>
    </row>
    <row r="5" spans="1:8" x14ac:dyDescent="0.25">
      <c r="A5" s="15">
        <v>71918593</v>
      </c>
      <c r="B5" s="15"/>
      <c r="C5" s="4" t="s">
        <v>106</v>
      </c>
      <c r="D5" s="16" t="s">
        <v>120</v>
      </c>
      <c r="E5" s="16" t="s">
        <v>260</v>
      </c>
      <c r="F5" s="15" t="s">
        <v>400</v>
      </c>
      <c r="G5" s="15" t="s">
        <v>542</v>
      </c>
      <c r="H5" s="16" t="s">
        <v>684</v>
      </c>
    </row>
    <row r="6" spans="1:8" x14ac:dyDescent="0.25">
      <c r="A6" s="15">
        <v>60745483</v>
      </c>
      <c r="B6" s="15"/>
      <c r="C6" s="4" t="s">
        <v>106</v>
      </c>
      <c r="D6" s="16" t="s">
        <v>121</v>
      </c>
      <c r="E6" s="16" t="s">
        <v>261</v>
      </c>
      <c r="F6" s="15" t="s">
        <v>401</v>
      </c>
      <c r="G6" s="15" t="s">
        <v>543</v>
      </c>
      <c r="H6" s="16" t="s">
        <v>685</v>
      </c>
    </row>
    <row r="7" spans="1:8" x14ac:dyDescent="0.25">
      <c r="A7" s="15">
        <v>60209971</v>
      </c>
      <c r="B7" s="15"/>
      <c r="C7" s="4" t="s">
        <v>106</v>
      </c>
      <c r="D7" s="16" t="s">
        <v>122</v>
      </c>
      <c r="E7" s="16" t="s">
        <v>262</v>
      </c>
      <c r="F7" s="15" t="s">
        <v>402</v>
      </c>
      <c r="G7" s="15" t="s">
        <v>544</v>
      </c>
      <c r="H7" s="16" t="s">
        <v>686</v>
      </c>
    </row>
    <row r="8" spans="1:8" x14ac:dyDescent="0.25">
      <c r="A8" s="15">
        <v>71448858</v>
      </c>
      <c r="B8" s="15"/>
      <c r="C8" s="4" t="s">
        <v>105</v>
      </c>
      <c r="D8" s="16" t="s">
        <v>123</v>
      </c>
      <c r="E8" s="16" t="s">
        <v>263</v>
      </c>
      <c r="F8" s="15" t="s">
        <v>403</v>
      </c>
      <c r="G8" s="15" t="s">
        <v>545</v>
      </c>
      <c r="H8" s="16" t="s">
        <v>687</v>
      </c>
    </row>
    <row r="9" spans="1:8" x14ac:dyDescent="0.25">
      <c r="A9" s="15">
        <v>71957612</v>
      </c>
      <c r="B9" s="15"/>
      <c r="C9" s="4" t="s">
        <v>105</v>
      </c>
      <c r="D9" s="16" t="s">
        <v>124</v>
      </c>
      <c r="E9" s="16" t="s">
        <v>264</v>
      </c>
      <c r="F9" s="15" t="s">
        <v>404</v>
      </c>
      <c r="G9" s="15" t="s">
        <v>546</v>
      </c>
      <c r="H9" s="16" t="s">
        <v>688</v>
      </c>
    </row>
    <row r="10" spans="1:8" x14ac:dyDescent="0.25">
      <c r="A10" s="15">
        <v>75364805</v>
      </c>
      <c r="B10" s="15"/>
      <c r="C10" s="4" t="s">
        <v>105</v>
      </c>
      <c r="D10" s="16" t="s">
        <v>125</v>
      </c>
      <c r="E10" s="16" t="s">
        <v>265</v>
      </c>
      <c r="F10" s="15" t="s">
        <v>405</v>
      </c>
      <c r="G10" s="15" t="s">
        <v>547</v>
      </c>
      <c r="H10" s="16" t="s">
        <v>689</v>
      </c>
    </row>
    <row r="11" spans="1:8" x14ac:dyDescent="0.25">
      <c r="A11" s="15">
        <v>73874633</v>
      </c>
      <c r="B11" s="15"/>
      <c r="C11" s="4" t="s">
        <v>113</v>
      </c>
      <c r="D11" s="16" t="s">
        <v>126</v>
      </c>
      <c r="E11" s="16" t="s">
        <v>266</v>
      </c>
      <c r="F11" s="15" t="s">
        <v>406</v>
      </c>
      <c r="G11" s="15" t="s">
        <v>548</v>
      </c>
      <c r="H11" s="16" t="s">
        <v>690</v>
      </c>
    </row>
    <row r="12" spans="1:8" x14ac:dyDescent="0.25">
      <c r="A12" s="15">
        <v>60797365</v>
      </c>
      <c r="B12" s="15"/>
      <c r="C12" s="4" t="s">
        <v>104</v>
      </c>
      <c r="D12" s="16" t="s">
        <v>127</v>
      </c>
      <c r="E12" s="16" t="s">
        <v>267</v>
      </c>
      <c r="F12" s="15" t="s">
        <v>407</v>
      </c>
      <c r="G12" s="15" t="s">
        <v>549</v>
      </c>
      <c r="H12" s="16" t="s">
        <v>691</v>
      </c>
    </row>
    <row r="13" spans="1:8" x14ac:dyDescent="0.25">
      <c r="A13" s="15">
        <v>73259401</v>
      </c>
      <c r="B13" s="15"/>
      <c r="C13" s="4" t="s">
        <v>104</v>
      </c>
      <c r="D13" s="16" t="s">
        <v>128</v>
      </c>
      <c r="E13" s="16" t="s">
        <v>268</v>
      </c>
      <c r="F13" s="15" t="s">
        <v>408</v>
      </c>
      <c r="G13" s="15" t="s">
        <v>550</v>
      </c>
      <c r="H13" s="16" t="s">
        <v>692</v>
      </c>
    </row>
    <row r="14" spans="1:8" x14ac:dyDescent="0.25">
      <c r="A14" s="15">
        <v>75958073</v>
      </c>
      <c r="B14" s="15"/>
      <c r="C14" s="4" t="s">
        <v>104</v>
      </c>
      <c r="D14" s="16" t="s">
        <v>129</v>
      </c>
      <c r="E14" s="16" t="s">
        <v>269</v>
      </c>
      <c r="F14" s="15" t="s">
        <v>409</v>
      </c>
      <c r="G14" s="15" t="s">
        <v>551</v>
      </c>
      <c r="H14" s="16" t="s">
        <v>693</v>
      </c>
    </row>
    <row r="15" spans="1:8" x14ac:dyDescent="0.25">
      <c r="A15" s="15">
        <v>76218279</v>
      </c>
      <c r="B15" s="15"/>
      <c r="C15" s="4" t="s">
        <v>104</v>
      </c>
      <c r="D15" s="16" t="s">
        <v>130</v>
      </c>
      <c r="E15" s="16" t="s">
        <v>270</v>
      </c>
      <c r="F15" s="15" t="s">
        <v>410</v>
      </c>
      <c r="G15" s="15" t="s">
        <v>552</v>
      </c>
      <c r="H15" s="16" t="s">
        <v>694</v>
      </c>
    </row>
    <row r="16" spans="1:8" x14ac:dyDescent="0.25">
      <c r="A16" s="15">
        <v>77355278</v>
      </c>
      <c r="B16" s="15"/>
      <c r="C16" s="4" t="s">
        <v>106</v>
      </c>
      <c r="D16" s="16" t="s">
        <v>131</v>
      </c>
      <c r="E16" s="16" t="s">
        <v>271</v>
      </c>
      <c r="F16" s="15" t="s">
        <v>411</v>
      </c>
      <c r="G16" s="15" t="s">
        <v>553</v>
      </c>
      <c r="H16" s="16" t="s">
        <v>695</v>
      </c>
    </row>
    <row r="17" spans="1:8" x14ac:dyDescent="0.25">
      <c r="A17" s="15">
        <v>60912281</v>
      </c>
      <c r="B17" s="15"/>
      <c r="C17" s="4" t="s">
        <v>106</v>
      </c>
      <c r="D17" s="16" t="s">
        <v>132</v>
      </c>
      <c r="E17" s="16" t="s">
        <v>272</v>
      </c>
      <c r="F17" s="15" t="s">
        <v>412</v>
      </c>
      <c r="G17" s="15" t="s">
        <v>554</v>
      </c>
      <c r="H17" s="16" t="s">
        <v>696</v>
      </c>
    </row>
    <row r="18" spans="1:8" x14ac:dyDescent="0.25">
      <c r="A18" s="15">
        <v>77378429</v>
      </c>
      <c r="B18" s="15"/>
      <c r="C18" s="4" t="s">
        <v>104</v>
      </c>
      <c r="D18" s="16" t="s">
        <v>133</v>
      </c>
      <c r="E18" s="16" t="s">
        <v>273</v>
      </c>
      <c r="F18" s="15" t="s">
        <v>413</v>
      </c>
      <c r="G18" s="15" t="s">
        <v>555</v>
      </c>
      <c r="H18" s="16" t="s">
        <v>697</v>
      </c>
    </row>
    <row r="19" spans="1:8" x14ac:dyDescent="0.25">
      <c r="A19" s="15">
        <v>41481424</v>
      </c>
      <c r="B19" s="15"/>
      <c r="C19" s="4" t="s">
        <v>106</v>
      </c>
      <c r="D19" s="16" t="s">
        <v>134</v>
      </c>
      <c r="E19" s="16" t="s">
        <v>274</v>
      </c>
      <c r="F19" s="15" t="s">
        <v>414</v>
      </c>
      <c r="G19" s="15" t="s">
        <v>556</v>
      </c>
      <c r="H19" s="16" t="s">
        <v>698</v>
      </c>
    </row>
    <row r="20" spans="1:8" x14ac:dyDescent="0.25">
      <c r="A20" s="15">
        <v>61142394</v>
      </c>
      <c r="B20" s="15"/>
      <c r="C20" s="4" t="s">
        <v>104</v>
      </c>
      <c r="D20" s="16" t="s">
        <v>135</v>
      </c>
      <c r="E20" s="16" t="s">
        <v>275</v>
      </c>
      <c r="F20" s="15" t="s">
        <v>415</v>
      </c>
      <c r="G20" s="15" t="s">
        <v>557</v>
      </c>
      <c r="H20" s="16" t="s">
        <v>699</v>
      </c>
    </row>
    <row r="21" spans="1:8" x14ac:dyDescent="0.25">
      <c r="A21" s="15">
        <v>61113216</v>
      </c>
      <c r="B21" s="15"/>
      <c r="C21" s="4" t="s">
        <v>106</v>
      </c>
      <c r="D21" s="16" t="s">
        <v>136</v>
      </c>
      <c r="E21" s="16" t="s">
        <v>276</v>
      </c>
      <c r="F21" s="15" t="s">
        <v>416</v>
      </c>
      <c r="G21" s="15" t="s">
        <v>558</v>
      </c>
      <c r="H21" s="16" t="s">
        <v>700</v>
      </c>
    </row>
    <row r="22" spans="1:8" x14ac:dyDescent="0.25">
      <c r="A22" s="15">
        <v>60295879</v>
      </c>
      <c r="B22" s="15"/>
      <c r="C22" s="4" t="s">
        <v>104</v>
      </c>
      <c r="D22" s="16" t="s">
        <v>137</v>
      </c>
      <c r="E22" s="16" t="s">
        <v>277</v>
      </c>
      <c r="F22" s="15" t="s">
        <v>417</v>
      </c>
      <c r="G22" s="15" t="s">
        <v>559</v>
      </c>
      <c r="H22" s="16" t="s">
        <v>701</v>
      </c>
    </row>
    <row r="23" spans="1:8" x14ac:dyDescent="0.25">
      <c r="A23" s="15">
        <v>71997986</v>
      </c>
      <c r="B23" s="15"/>
      <c r="C23" s="4" t="s">
        <v>106</v>
      </c>
      <c r="D23" s="16" t="s">
        <v>138</v>
      </c>
      <c r="E23" s="16" t="s">
        <v>278</v>
      </c>
      <c r="F23" s="15" t="s">
        <v>418</v>
      </c>
      <c r="G23" s="15" t="s">
        <v>560</v>
      </c>
      <c r="H23" s="16" t="s">
        <v>702</v>
      </c>
    </row>
    <row r="24" spans="1:8" x14ac:dyDescent="0.25">
      <c r="A24" s="15">
        <v>75256357</v>
      </c>
      <c r="B24" s="15"/>
      <c r="C24" s="4" t="s">
        <v>104</v>
      </c>
      <c r="D24" s="16" t="s">
        <v>139</v>
      </c>
      <c r="E24" s="16" t="s">
        <v>279</v>
      </c>
      <c r="F24" s="15" t="s">
        <v>419</v>
      </c>
      <c r="G24" s="15" t="s">
        <v>561</v>
      </c>
      <c r="H24" s="16" t="s">
        <v>703</v>
      </c>
    </row>
    <row r="25" spans="1:8" x14ac:dyDescent="0.25">
      <c r="A25" s="15">
        <v>60346704</v>
      </c>
      <c r="B25" s="15"/>
      <c r="C25" s="4" t="s">
        <v>106</v>
      </c>
      <c r="D25" s="16" t="s">
        <v>140</v>
      </c>
      <c r="E25" s="16" t="s">
        <v>280</v>
      </c>
      <c r="F25" s="15" t="s">
        <v>420</v>
      </c>
      <c r="G25" s="15" t="s">
        <v>562</v>
      </c>
      <c r="H25" s="16" t="s">
        <v>704</v>
      </c>
    </row>
    <row r="26" spans="1:8" x14ac:dyDescent="0.25">
      <c r="A26" s="15">
        <v>72528158</v>
      </c>
      <c r="B26" s="15"/>
      <c r="C26" s="4" t="s">
        <v>106</v>
      </c>
      <c r="D26" s="16" t="s">
        <v>141</v>
      </c>
      <c r="E26" s="16" t="s">
        <v>281</v>
      </c>
      <c r="F26" s="15" t="s">
        <v>421</v>
      </c>
      <c r="G26" s="15" t="s">
        <v>563</v>
      </c>
      <c r="H26" s="16" t="s">
        <v>705</v>
      </c>
    </row>
    <row r="27" spans="1:8" x14ac:dyDescent="0.25">
      <c r="A27" s="15">
        <v>61368983</v>
      </c>
      <c r="B27" s="15"/>
      <c r="C27" s="4" t="s">
        <v>104</v>
      </c>
      <c r="D27" s="16" t="s">
        <v>142</v>
      </c>
      <c r="E27" s="16" t="s">
        <v>282</v>
      </c>
      <c r="F27" s="15" t="s">
        <v>422</v>
      </c>
      <c r="G27" s="15" t="s">
        <v>564</v>
      </c>
      <c r="H27" s="16" t="s">
        <v>706</v>
      </c>
    </row>
    <row r="28" spans="1:8" x14ac:dyDescent="0.25">
      <c r="A28" s="15">
        <v>60341232</v>
      </c>
      <c r="B28" s="15"/>
      <c r="C28" s="4" t="s">
        <v>106</v>
      </c>
      <c r="D28" s="16" t="s">
        <v>143</v>
      </c>
      <c r="E28" s="16" t="s">
        <v>283</v>
      </c>
      <c r="F28" s="15" t="s">
        <v>423</v>
      </c>
      <c r="G28" s="15" t="s">
        <v>565</v>
      </c>
      <c r="H28" s="16" t="s">
        <v>707</v>
      </c>
    </row>
    <row r="29" spans="1:8" x14ac:dyDescent="0.25">
      <c r="A29" s="15">
        <v>81302358</v>
      </c>
      <c r="B29" s="15"/>
      <c r="C29" s="4" t="s">
        <v>106</v>
      </c>
      <c r="D29" s="16" t="s">
        <v>144</v>
      </c>
      <c r="E29" s="16" t="s">
        <v>284</v>
      </c>
      <c r="F29" s="15" t="s">
        <v>424</v>
      </c>
      <c r="G29" s="15" t="s">
        <v>566</v>
      </c>
      <c r="H29" s="16" t="s">
        <v>708</v>
      </c>
    </row>
    <row r="30" spans="1:8" x14ac:dyDescent="0.25">
      <c r="A30" s="15">
        <v>75969378</v>
      </c>
      <c r="B30" s="15"/>
      <c r="C30" s="4" t="s">
        <v>106</v>
      </c>
      <c r="D30" s="16" t="s">
        <v>145</v>
      </c>
      <c r="E30" s="16" t="s">
        <v>285</v>
      </c>
      <c r="F30" s="15" t="s">
        <v>425</v>
      </c>
      <c r="G30" s="15" t="s">
        <v>567</v>
      </c>
      <c r="H30" s="16" t="s">
        <v>709</v>
      </c>
    </row>
    <row r="31" spans="1:8" x14ac:dyDescent="0.25">
      <c r="A31" s="15">
        <v>15738751</v>
      </c>
      <c r="B31" s="15"/>
      <c r="C31" s="4" t="s">
        <v>106</v>
      </c>
      <c r="D31" s="16" t="s">
        <v>146</v>
      </c>
      <c r="E31" s="16" t="s">
        <v>286</v>
      </c>
      <c r="F31" s="15" t="s">
        <v>426</v>
      </c>
      <c r="G31" s="15" t="s">
        <v>568</v>
      </c>
      <c r="H31" s="16" t="s">
        <v>710</v>
      </c>
    </row>
    <row r="32" spans="1:8" x14ac:dyDescent="0.25">
      <c r="A32" s="15">
        <v>75317162</v>
      </c>
      <c r="B32" s="15"/>
      <c r="C32" s="4" t="s">
        <v>106</v>
      </c>
      <c r="D32" s="16" t="s">
        <v>147</v>
      </c>
      <c r="E32" s="16" t="s">
        <v>287</v>
      </c>
      <c r="F32" s="15" t="s">
        <v>427</v>
      </c>
      <c r="G32" s="15" t="s">
        <v>569</v>
      </c>
      <c r="H32" s="16" t="s">
        <v>711</v>
      </c>
    </row>
    <row r="33" spans="1:8" x14ac:dyDescent="0.25">
      <c r="A33" s="15">
        <v>62594745</v>
      </c>
      <c r="B33" s="15"/>
      <c r="C33" s="4" t="s">
        <v>104</v>
      </c>
      <c r="D33" s="16" t="s">
        <v>148</v>
      </c>
      <c r="E33" s="16" t="s">
        <v>288</v>
      </c>
      <c r="F33" s="15" t="s">
        <v>428</v>
      </c>
      <c r="G33" s="15" t="s">
        <v>570</v>
      </c>
      <c r="H33" s="16" t="s">
        <v>712</v>
      </c>
    </row>
    <row r="34" spans="1:8" x14ac:dyDescent="0.25">
      <c r="A34" s="15">
        <v>60906968</v>
      </c>
      <c r="B34" s="15"/>
      <c r="C34" s="4" t="s">
        <v>104</v>
      </c>
      <c r="D34" s="16" t="s">
        <v>149</v>
      </c>
      <c r="E34" s="16" t="s">
        <v>289</v>
      </c>
      <c r="F34" s="15" t="s">
        <v>429</v>
      </c>
      <c r="G34" s="15" t="s">
        <v>571</v>
      </c>
      <c r="H34" s="16" t="s">
        <v>713</v>
      </c>
    </row>
    <row r="35" spans="1:8" x14ac:dyDescent="0.25">
      <c r="A35" s="15">
        <v>75532019</v>
      </c>
      <c r="B35" s="15"/>
      <c r="C35" s="4" t="s">
        <v>104</v>
      </c>
      <c r="D35" s="16" t="s">
        <v>150</v>
      </c>
      <c r="E35" s="16" t="s">
        <v>290</v>
      </c>
      <c r="F35" s="15" t="s">
        <v>430</v>
      </c>
      <c r="G35" s="15" t="s">
        <v>572</v>
      </c>
      <c r="H35" s="16" t="s">
        <v>714</v>
      </c>
    </row>
    <row r="36" spans="1:8" x14ac:dyDescent="0.25">
      <c r="A36" s="15">
        <v>70917715</v>
      </c>
      <c r="B36" s="15"/>
      <c r="C36" s="4" t="s">
        <v>106</v>
      </c>
      <c r="D36" s="16" t="s">
        <v>151</v>
      </c>
      <c r="E36" s="16" t="s">
        <v>291</v>
      </c>
      <c r="F36" s="15" t="s">
        <v>431</v>
      </c>
      <c r="G36" s="15" t="s">
        <v>573</v>
      </c>
      <c r="H36" s="16" t="s">
        <v>715</v>
      </c>
    </row>
    <row r="37" spans="1:8" x14ac:dyDescent="0.25">
      <c r="A37" s="15">
        <v>60912178</v>
      </c>
      <c r="B37" s="15"/>
      <c r="C37" s="4" t="s">
        <v>104</v>
      </c>
      <c r="D37" s="16" t="s">
        <v>152</v>
      </c>
      <c r="E37" s="16" t="s">
        <v>292</v>
      </c>
      <c r="F37" s="15" t="s">
        <v>432</v>
      </c>
      <c r="G37" s="15" t="s">
        <v>574</v>
      </c>
      <c r="H37" s="16" t="s">
        <v>716</v>
      </c>
    </row>
    <row r="38" spans="1:8" x14ac:dyDescent="0.25">
      <c r="A38" s="15">
        <v>60990939</v>
      </c>
      <c r="B38" s="15"/>
      <c r="C38" s="4" t="s">
        <v>104</v>
      </c>
      <c r="D38" s="16" t="s">
        <v>153</v>
      </c>
      <c r="E38" s="16" t="s">
        <v>293</v>
      </c>
      <c r="F38" s="15" t="s">
        <v>433</v>
      </c>
      <c r="G38" s="15" t="s">
        <v>575</v>
      </c>
      <c r="H38" s="16" t="s">
        <v>717</v>
      </c>
    </row>
    <row r="39" spans="1:8" x14ac:dyDescent="0.25">
      <c r="A39" s="15">
        <v>62555568</v>
      </c>
      <c r="B39" s="15"/>
      <c r="C39" s="4" t="s">
        <v>104</v>
      </c>
      <c r="D39" s="16" t="s">
        <v>154</v>
      </c>
      <c r="E39" s="16" t="s">
        <v>294</v>
      </c>
      <c r="F39" s="15" t="s">
        <v>434</v>
      </c>
      <c r="G39" s="15" t="s">
        <v>576</v>
      </c>
      <c r="H39" s="16" t="s">
        <v>718</v>
      </c>
    </row>
    <row r="40" spans="1:8" x14ac:dyDescent="0.25">
      <c r="A40" s="15">
        <v>60593477</v>
      </c>
      <c r="B40" s="15"/>
      <c r="C40" s="4" t="s">
        <v>106</v>
      </c>
      <c r="D40" s="16" t="s">
        <v>155</v>
      </c>
      <c r="E40" s="16" t="s">
        <v>295</v>
      </c>
      <c r="F40" s="15" t="s">
        <v>435</v>
      </c>
      <c r="G40" s="15" t="s">
        <v>577</v>
      </c>
      <c r="H40" s="16" t="s">
        <v>719</v>
      </c>
    </row>
    <row r="41" spans="1:8" x14ac:dyDescent="0.25">
      <c r="A41" s="15">
        <v>41604980</v>
      </c>
      <c r="B41" s="15"/>
      <c r="C41" s="4" t="s">
        <v>106</v>
      </c>
      <c r="D41" s="16" t="s">
        <v>156</v>
      </c>
      <c r="E41" s="16" t="s">
        <v>296</v>
      </c>
      <c r="F41" s="15" t="s">
        <v>436</v>
      </c>
      <c r="G41" s="15" t="s">
        <v>578</v>
      </c>
      <c r="H41" s="16" t="s">
        <v>720</v>
      </c>
    </row>
    <row r="42" spans="1:8" x14ac:dyDescent="0.25">
      <c r="A42" s="15">
        <v>60936634</v>
      </c>
      <c r="B42" s="15"/>
      <c r="C42" s="4" t="s">
        <v>106</v>
      </c>
      <c r="D42" s="16" t="s">
        <v>157</v>
      </c>
      <c r="E42" s="16" t="s">
        <v>297</v>
      </c>
      <c r="F42" s="15" t="s">
        <v>437</v>
      </c>
      <c r="G42" s="15" t="s">
        <v>579</v>
      </c>
      <c r="H42" s="16" t="s">
        <v>721</v>
      </c>
    </row>
    <row r="43" spans="1:8" x14ac:dyDescent="0.25">
      <c r="A43" s="15">
        <v>60911778</v>
      </c>
      <c r="B43" s="15"/>
      <c r="C43" s="4" t="s">
        <v>106</v>
      </c>
      <c r="D43" s="16" t="s">
        <v>158</v>
      </c>
      <c r="E43" s="16" t="s">
        <v>298</v>
      </c>
      <c r="F43" s="15" t="s">
        <v>438</v>
      </c>
      <c r="G43" s="15" t="s">
        <v>580</v>
      </c>
      <c r="H43" s="16" t="s">
        <v>722</v>
      </c>
    </row>
    <row r="44" spans="1:8" x14ac:dyDescent="0.25">
      <c r="A44" s="15">
        <v>74445348</v>
      </c>
      <c r="B44" s="15"/>
      <c r="C44" s="4" t="s">
        <v>104</v>
      </c>
      <c r="D44" s="16" t="s">
        <v>159</v>
      </c>
      <c r="E44" s="16" t="s">
        <v>299</v>
      </c>
      <c r="F44" s="15" t="s">
        <v>439</v>
      </c>
      <c r="G44" s="15" t="s">
        <v>581</v>
      </c>
      <c r="H44" s="16" t="s">
        <v>723</v>
      </c>
    </row>
    <row r="45" spans="1:8" x14ac:dyDescent="0.25">
      <c r="A45" s="15">
        <v>60584733</v>
      </c>
      <c r="B45" s="15"/>
      <c r="C45" s="4" t="s">
        <v>106</v>
      </c>
      <c r="D45" s="16" t="s">
        <v>160</v>
      </c>
      <c r="E45" s="16" t="s">
        <v>300</v>
      </c>
      <c r="F45" s="15" t="s">
        <v>440</v>
      </c>
      <c r="G45" s="15" t="s">
        <v>582</v>
      </c>
      <c r="H45" s="16" t="s">
        <v>724</v>
      </c>
    </row>
    <row r="46" spans="1:8" x14ac:dyDescent="0.25">
      <c r="A46" s="15">
        <v>73941575</v>
      </c>
      <c r="B46" s="15"/>
      <c r="C46" s="4" t="s">
        <v>106</v>
      </c>
      <c r="D46" s="16" t="s">
        <v>161</v>
      </c>
      <c r="E46" s="16" t="s">
        <v>301</v>
      </c>
      <c r="F46" s="15" t="s">
        <v>441</v>
      </c>
      <c r="G46" s="15" t="s">
        <v>583</v>
      </c>
      <c r="H46" s="16" t="s">
        <v>725</v>
      </c>
    </row>
    <row r="47" spans="1:8" x14ac:dyDescent="0.25">
      <c r="A47" s="15">
        <v>72179753</v>
      </c>
      <c r="B47" s="15"/>
      <c r="C47" s="4" t="s">
        <v>104</v>
      </c>
      <c r="D47" s="16" t="s">
        <v>162</v>
      </c>
      <c r="E47" s="16" t="s">
        <v>302</v>
      </c>
      <c r="F47" s="15" t="s">
        <v>442</v>
      </c>
      <c r="G47" s="15" t="s">
        <v>584</v>
      </c>
      <c r="H47" s="16" t="s">
        <v>726</v>
      </c>
    </row>
    <row r="48" spans="1:8" x14ac:dyDescent="0.25">
      <c r="A48" s="15">
        <v>61113084</v>
      </c>
      <c r="B48" s="15"/>
      <c r="C48" s="4" t="s">
        <v>106</v>
      </c>
      <c r="D48" s="16" t="s">
        <v>163</v>
      </c>
      <c r="E48" s="16" t="s">
        <v>303</v>
      </c>
      <c r="F48" s="15" t="s">
        <v>443</v>
      </c>
      <c r="G48" s="15" t="s">
        <v>585</v>
      </c>
      <c r="H48" s="16" t="s">
        <v>727</v>
      </c>
    </row>
    <row r="49" spans="1:8" x14ac:dyDescent="0.25">
      <c r="A49" s="15">
        <v>60912154</v>
      </c>
      <c r="B49" s="15"/>
      <c r="C49" s="4" t="s">
        <v>104</v>
      </c>
      <c r="D49" s="16" t="s">
        <v>164</v>
      </c>
      <c r="E49" s="16" t="s">
        <v>304</v>
      </c>
      <c r="F49" s="15" t="s">
        <v>444</v>
      </c>
      <c r="G49" s="15" t="s">
        <v>586</v>
      </c>
      <c r="H49" s="16" t="s">
        <v>728</v>
      </c>
    </row>
    <row r="50" spans="1:8" x14ac:dyDescent="0.25">
      <c r="A50" s="15">
        <v>15738668</v>
      </c>
      <c r="B50" s="15"/>
      <c r="C50" s="4" t="s">
        <v>104</v>
      </c>
      <c r="D50" s="16" t="s">
        <v>165</v>
      </c>
      <c r="E50" s="16" t="s">
        <v>305</v>
      </c>
      <c r="F50" s="15" t="s">
        <v>445</v>
      </c>
      <c r="G50" s="15" t="s">
        <v>587</v>
      </c>
      <c r="H50" s="16" t="s">
        <v>729</v>
      </c>
    </row>
    <row r="51" spans="1:8" x14ac:dyDescent="0.25">
      <c r="A51" s="15">
        <v>61201205</v>
      </c>
      <c r="B51" s="15"/>
      <c r="C51" s="4" t="s">
        <v>106</v>
      </c>
      <c r="D51" s="16" t="s">
        <v>166</v>
      </c>
      <c r="E51" s="16" t="s">
        <v>306</v>
      </c>
      <c r="F51" s="15" t="s">
        <v>446</v>
      </c>
      <c r="G51" s="15" t="s">
        <v>588</v>
      </c>
      <c r="H51" s="16" t="s">
        <v>730</v>
      </c>
    </row>
    <row r="52" spans="1:8" x14ac:dyDescent="0.25">
      <c r="A52" s="15">
        <v>62159600</v>
      </c>
      <c r="B52" s="15"/>
      <c r="C52" s="4" t="s">
        <v>106</v>
      </c>
      <c r="D52" s="16" t="s">
        <v>167</v>
      </c>
      <c r="E52" s="16" t="s">
        <v>307</v>
      </c>
      <c r="F52" s="15" t="s">
        <v>447</v>
      </c>
      <c r="G52" s="15" t="s">
        <v>589</v>
      </c>
      <c r="H52" s="16" t="s">
        <v>731</v>
      </c>
    </row>
    <row r="53" spans="1:8" x14ac:dyDescent="0.25">
      <c r="A53" s="4">
        <v>71974346</v>
      </c>
      <c r="B53" s="15"/>
      <c r="C53" s="4" t="s">
        <v>106</v>
      </c>
      <c r="D53" s="17" t="s">
        <v>168</v>
      </c>
      <c r="E53" s="17" t="s">
        <v>308</v>
      </c>
      <c r="F53" s="4" t="s">
        <v>448</v>
      </c>
      <c r="G53" s="4" t="s">
        <v>590</v>
      </c>
      <c r="H53" s="17" t="s">
        <v>732</v>
      </c>
    </row>
    <row r="54" spans="1:8" x14ac:dyDescent="0.25">
      <c r="A54" s="4">
        <v>72861384</v>
      </c>
      <c r="B54" s="15"/>
      <c r="C54" s="4" t="s">
        <v>104</v>
      </c>
      <c r="D54" s="17" t="s">
        <v>169</v>
      </c>
      <c r="E54" s="17" t="s">
        <v>309</v>
      </c>
      <c r="F54" s="4" t="s">
        <v>449</v>
      </c>
      <c r="G54" s="4" t="s">
        <v>591</v>
      </c>
      <c r="H54" s="17" t="s">
        <v>733</v>
      </c>
    </row>
    <row r="55" spans="1:8" x14ac:dyDescent="0.25">
      <c r="A55" s="4">
        <v>72507021</v>
      </c>
      <c r="B55" s="15"/>
      <c r="C55" s="4" t="s">
        <v>106</v>
      </c>
      <c r="D55" s="17" t="s">
        <v>170</v>
      </c>
      <c r="E55" s="17" t="s">
        <v>310</v>
      </c>
      <c r="F55" s="4" t="s">
        <v>450</v>
      </c>
      <c r="G55" s="4" t="s">
        <v>592</v>
      </c>
      <c r="H55" s="17" t="s">
        <v>734</v>
      </c>
    </row>
    <row r="56" spans="1:8" x14ac:dyDescent="0.25">
      <c r="A56" s="4">
        <v>60254777</v>
      </c>
      <c r="B56" s="15"/>
      <c r="C56" s="4" t="s">
        <v>106</v>
      </c>
      <c r="D56" s="17" t="s">
        <v>171</v>
      </c>
      <c r="E56" s="17" t="s">
        <v>311</v>
      </c>
      <c r="F56" s="4" t="s">
        <v>451</v>
      </c>
      <c r="G56" s="4" t="s">
        <v>593</v>
      </c>
      <c r="H56" s="17" t="s">
        <v>735</v>
      </c>
    </row>
    <row r="57" spans="1:8" x14ac:dyDescent="0.25">
      <c r="A57" s="4">
        <v>75802749</v>
      </c>
      <c r="B57" s="15"/>
      <c r="C57" s="4" t="s">
        <v>104</v>
      </c>
      <c r="D57" s="17" t="s">
        <v>172</v>
      </c>
      <c r="E57" s="17" t="s">
        <v>312</v>
      </c>
      <c r="F57" s="4" t="s">
        <v>452</v>
      </c>
      <c r="G57" s="4" t="s">
        <v>594</v>
      </c>
      <c r="H57" s="17" t="s">
        <v>736</v>
      </c>
    </row>
    <row r="58" spans="1:8" x14ac:dyDescent="0.25">
      <c r="A58" s="4">
        <v>72968657</v>
      </c>
      <c r="B58" s="15"/>
      <c r="C58" s="4" t="s">
        <v>106</v>
      </c>
      <c r="D58" s="17" t="s">
        <v>173</v>
      </c>
      <c r="E58" s="17" t="s">
        <v>313</v>
      </c>
      <c r="F58" s="4" t="s">
        <v>453</v>
      </c>
      <c r="G58" s="4" t="s">
        <v>595</v>
      </c>
      <c r="H58" s="17" t="s">
        <v>737</v>
      </c>
    </row>
    <row r="59" spans="1:8" x14ac:dyDescent="0.25">
      <c r="A59" s="4">
        <v>75000161</v>
      </c>
      <c r="B59" s="15"/>
      <c r="C59" s="4" t="s">
        <v>104</v>
      </c>
      <c r="D59" s="17" t="s">
        <v>174</v>
      </c>
      <c r="E59" s="17" t="s">
        <v>314</v>
      </c>
      <c r="F59" s="4" t="s">
        <v>454</v>
      </c>
      <c r="G59" s="4" t="s">
        <v>596</v>
      </c>
      <c r="H59" s="17" t="s">
        <v>738</v>
      </c>
    </row>
    <row r="60" spans="1:8" x14ac:dyDescent="0.25">
      <c r="A60" s="4">
        <v>42037608</v>
      </c>
      <c r="B60" s="15"/>
      <c r="C60" s="4" t="s">
        <v>104</v>
      </c>
      <c r="D60" s="17" t="s">
        <v>175</v>
      </c>
      <c r="E60" s="17" t="s">
        <v>315</v>
      </c>
      <c r="F60" s="4" t="s">
        <v>455</v>
      </c>
      <c r="G60" s="4" t="s">
        <v>597</v>
      </c>
      <c r="H60" s="17" t="s">
        <v>739</v>
      </c>
    </row>
    <row r="61" spans="1:8" x14ac:dyDescent="0.25">
      <c r="A61" s="4">
        <v>60577406</v>
      </c>
      <c r="B61" s="15"/>
      <c r="C61" s="4" t="s">
        <v>106</v>
      </c>
      <c r="D61" s="17" t="s">
        <v>176</v>
      </c>
      <c r="E61" s="17" t="s">
        <v>316</v>
      </c>
      <c r="F61" s="4" t="s">
        <v>456</v>
      </c>
      <c r="G61" s="4" t="s">
        <v>598</v>
      </c>
      <c r="H61" s="17" t="s">
        <v>740</v>
      </c>
    </row>
    <row r="62" spans="1:8" x14ac:dyDescent="0.25">
      <c r="A62" s="4">
        <v>60227622</v>
      </c>
      <c r="B62" s="15"/>
      <c r="C62" s="4" t="s">
        <v>104</v>
      </c>
      <c r="D62" s="17" t="s">
        <v>177</v>
      </c>
      <c r="E62" s="17" t="s">
        <v>317</v>
      </c>
      <c r="F62" s="4" t="s">
        <v>457</v>
      </c>
      <c r="G62" s="4" t="s">
        <v>599</v>
      </c>
      <c r="H62" s="17" t="s">
        <v>741</v>
      </c>
    </row>
    <row r="63" spans="1:8" x14ac:dyDescent="0.25">
      <c r="A63" s="4">
        <v>61273602</v>
      </c>
      <c r="B63" s="15"/>
      <c r="C63" s="4" t="s">
        <v>104</v>
      </c>
      <c r="D63" s="17" t="s">
        <v>178</v>
      </c>
      <c r="E63" s="17" t="s">
        <v>318</v>
      </c>
      <c r="F63" s="4" t="s">
        <v>458</v>
      </c>
      <c r="G63" s="4" t="s">
        <v>600</v>
      </c>
      <c r="H63" s="17" t="s">
        <v>742</v>
      </c>
    </row>
    <row r="64" spans="1:8" x14ac:dyDescent="0.25">
      <c r="A64" s="4">
        <v>60540839</v>
      </c>
      <c r="B64" s="15"/>
      <c r="C64" s="4" t="s">
        <v>106</v>
      </c>
      <c r="D64" s="17" t="s">
        <v>179</v>
      </c>
      <c r="E64" s="17" t="s">
        <v>319</v>
      </c>
      <c r="F64" s="4" t="s">
        <v>459</v>
      </c>
      <c r="G64" s="4" t="s">
        <v>601</v>
      </c>
      <c r="H64" s="17" t="s">
        <v>743</v>
      </c>
    </row>
    <row r="65" spans="1:8" x14ac:dyDescent="0.25">
      <c r="A65" s="4">
        <v>45996674</v>
      </c>
      <c r="B65" s="15"/>
      <c r="C65" s="4" t="s">
        <v>104</v>
      </c>
      <c r="D65" s="17" t="s">
        <v>180</v>
      </c>
      <c r="E65" s="17" t="s">
        <v>320</v>
      </c>
      <c r="F65" s="4" t="s">
        <v>460</v>
      </c>
      <c r="G65" s="4" t="s">
        <v>602</v>
      </c>
      <c r="H65" s="17" t="s">
        <v>744</v>
      </c>
    </row>
    <row r="66" spans="1:8" x14ac:dyDescent="0.25">
      <c r="A66" s="4">
        <v>61329731</v>
      </c>
      <c r="B66" s="15"/>
      <c r="C66" s="4" t="s">
        <v>104</v>
      </c>
      <c r="D66" s="17" t="s">
        <v>181</v>
      </c>
      <c r="E66" s="17" t="s">
        <v>321</v>
      </c>
      <c r="F66" s="4" t="s">
        <v>461</v>
      </c>
      <c r="G66" s="4" t="s">
        <v>603</v>
      </c>
      <c r="H66" s="17" t="s">
        <v>745</v>
      </c>
    </row>
    <row r="67" spans="1:8" x14ac:dyDescent="0.25">
      <c r="A67" s="4">
        <v>45643580</v>
      </c>
      <c r="B67" s="15"/>
      <c r="C67" s="4" t="s">
        <v>104</v>
      </c>
      <c r="D67" s="17" t="s">
        <v>182</v>
      </c>
      <c r="E67" s="17" t="s">
        <v>322</v>
      </c>
      <c r="F67" s="4" t="s">
        <v>462</v>
      </c>
      <c r="G67" s="4" t="s">
        <v>604</v>
      </c>
      <c r="H67" s="17" t="s">
        <v>746</v>
      </c>
    </row>
    <row r="68" spans="1:8" x14ac:dyDescent="0.25">
      <c r="A68" s="4">
        <v>60476432</v>
      </c>
      <c r="B68" s="15"/>
      <c r="C68" s="4" t="s">
        <v>106</v>
      </c>
      <c r="D68" s="17" t="s">
        <v>183</v>
      </c>
      <c r="E68" s="17" t="s">
        <v>323</v>
      </c>
      <c r="F68" s="4" t="s">
        <v>463</v>
      </c>
      <c r="G68" s="4" t="s">
        <v>605</v>
      </c>
      <c r="H68" s="17" t="s">
        <v>747</v>
      </c>
    </row>
    <row r="69" spans="1:8" x14ac:dyDescent="0.25">
      <c r="A69" s="4">
        <v>61369091</v>
      </c>
      <c r="B69" s="15"/>
      <c r="C69" s="4" t="s">
        <v>104</v>
      </c>
      <c r="D69" s="17" t="s">
        <v>184</v>
      </c>
      <c r="E69" s="17" t="s">
        <v>324</v>
      </c>
      <c r="F69" s="4" t="s">
        <v>464</v>
      </c>
      <c r="G69" s="4" t="s">
        <v>606</v>
      </c>
      <c r="H69" s="17" t="s">
        <v>748</v>
      </c>
    </row>
    <row r="70" spans="1:8" x14ac:dyDescent="0.25">
      <c r="A70" s="4">
        <v>60912019</v>
      </c>
      <c r="B70" s="15"/>
      <c r="C70" s="4" t="s">
        <v>104</v>
      </c>
      <c r="D70" s="17" t="s">
        <v>185</v>
      </c>
      <c r="E70" s="17" t="s">
        <v>325</v>
      </c>
      <c r="F70" s="4" t="s">
        <v>465</v>
      </c>
      <c r="G70" s="4" t="s">
        <v>607</v>
      </c>
      <c r="H70" s="17" t="s">
        <v>749</v>
      </c>
    </row>
    <row r="71" spans="1:8" x14ac:dyDescent="0.25">
      <c r="A71" s="4">
        <v>60912197</v>
      </c>
      <c r="B71" s="15"/>
      <c r="C71" s="4" t="s">
        <v>104</v>
      </c>
      <c r="D71" s="17" t="s">
        <v>186</v>
      </c>
      <c r="E71" s="17" t="s">
        <v>326</v>
      </c>
      <c r="F71" s="4" t="s">
        <v>466</v>
      </c>
      <c r="G71" s="4" t="s">
        <v>608</v>
      </c>
      <c r="H71" s="17" t="s">
        <v>750</v>
      </c>
    </row>
    <row r="72" spans="1:8" x14ac:dyDescent="0.25">
      <c r="A72" s="4">
        <v>61273877</v>
      </c>
      <c r="B72" s="15"/>
      <c r="C72" s="4" t="s">
        <v>104</v>
      </c>
      <c r="D72" s="17" t="s">
        <v>187</v>
      </c>
      <c r="E72" s="17" t="s">
        <v>327</v>
      </c>
      <c r="F72" s="4" t="s">
        <v>467</v>
      </c>
      <c r="G72" s="4" t="s">
        <v>609</v>
      </c>
      <c r="H72" s="17" t="s">
        <v>751</v>
      </c>
    </row>
    <row r="73" spans="1:8" x14ac:dyDescent="0.25">
      <c r="A73" s="4">
        <v>75397284</v>
      </c>
      <c r="B73" s="15"/>
      <c r="C73" s="4" t="s">
        <v>106</v>
      </c>
      <c r="D73" s="17" t="s">
        <v>188</v>
      </c>
      <c r="E73" s="17" t="s">
        <v>328</v>
      </c>
      <c r="F73" s="4" t="s">
        <v>468</v>
      </c>
      <c r="G73" s="4" t="s">
        <v>610</v>
      </c>
      <c r="H73" s="17" t="s">
        <v>752</v>
      </c>
    </row>
    <row r="74" spans="1:8" x14ac:dyDescent="0.25">
      <c r="A74" s="4">
        <v>79463458</v>
      </c>
      <c r="B74" s="15"/>
      <c r="C74" s="4" t="s">
        <v>104</v>
      </c>
      <c r="D74" s="17" t="s">
        <v>189</v>
      </c>
      <c r="E74" s="17" t="s">
        <v>329</v>
      </c>
      <c r="F74" s="4" t="s">
        <v>469</v>
      </c>
      <c r="G74" s="4" t="s">
        <v>611</v>
      </c>
      <c r="H74" s="17" t="s">
        <v>753</v>
      </c>
    </row>
    <row r="75" spans="1:8" x14ac:dyDescent="0.25">
      <c r="A75" s="4">
        <v>75389799</v>
      </c>
      <c r="B75" s="15"/>
      <c r="C75" s="4" t="s">
        <v>104</v>
      </c>
      <c r="D75" s="17" t="s">
        <v>190</v>
      </c>
      <c r="E75" s="17" t="s">
        <v>330</v>
      </c>
      <c r="F75" s="4" t="s">
        <v>470</v>
      </c>
      <c r="G75" s="4" t="s">
        <v>612</v>
      </c>
      <c r="H75" s="17" t="s">
        <v>754</v>
      </c>
    </row>
    <row r="76" spans="1:8" x14ac:dyDescent="0.25">
      <c r="A76" s="4">
        <v>76094530</v>
      </c>
      <c r="B76" s="15"/>
      <c r="C76" s="4" t="s">
        <v>106</v>
      </c>
      <c r="D76" s="17" t="s">
        <v>191</v>
      </c>
      <c r="E76" s="17" t="s">
        <v>331</v>
      </c>
      <c r="F76" s="4" t="s">
        <v>471</v>
      </c>
      <c r="G76" s="4" t="s">
        <v>613</v>
      </c>
      <c r="H76" s="17" t="s">
        <v>755</v>
      </c>
    </row>
    <row r="77" spans="1:8" x14ac:dyDescent="0.25">
      <c r="A77" s="4">
        <v>60912167</v>
      </c>
      <c r="B77" s="15"/>
      <c r="C77" s="4" t="s">
        <v>104</v>
      </c>
      <c r="D77" s="17" t="s">
        <v>192</v>
      </c>
      <c r="E77" s="17" t="s">
        <v>332</v>
      </c>
      <c r="F77" s="4" t="s">
        <v>472</v>
      </c>
      <c r="G77" s="4" t="s">
        <v>614</v>
      </c>
      <c r="H77" s="17" t="s">
        <v>756</v>
      </c>
    </row>
    <row r="78" spans="1:8" x14ac:dyDescent="0.25">
      <c r="A78" s="4">
        <v>60911955</v>
      </c>
      <c r="B78" s="4"/>
      <c r="C78" s="4" t="s">
        <v>104</v>
      </c>
      <c r="D78" s="17" t="s">
        <v>193</v>
      </c>
      <c r="E78" s="17" t="s">
        <v>333</v>
      </c>
      <c r="F78" s="4" t="s">
        <v>473</v>
      </c>
      <c r="G78" s="4" t="s">
        <v>615</v>
      </c>
      <c r="H78" s="17" t="s">
        <v>757</v>
      </c>
    </row>
    <row r="79" spans="1:8" x14ac:dyDescent="0.25">
      <c r="A79" s="4">
        <v>73416799</v>
      </c>
      <c r="B79" s="4"/>
      <c r="C79" s="4" t="s">
        <v>106</v>
      </c>
      <c r="D79" s="17" t="s">
        <v>194</v>
      </c>
      <c r="E79" s="17" t="s">
        <v>334</v>
      </c>
      <c r="F79" s="4" t="s">
        <v>474</v>
      </c>
      <c r="G79" s="4" t="s">
        <v>616</v>
      </c>
      <c r="H79" s="17" t="s">
        <v>758</v>
      </c>
    </row>
    <row r="80" spans="1:8" x14ac:dyDescent="0.25">
      <c r="A80" s="4">
        <v>60991159</v>
      </c>
      <c r="B80" s="4"/>
      <c r="C80" s="4" t="s">
        <v>106</v>
      </c>
      <c r="D80" s="17" t="s">
        <v>195</v>
      </c>
      <c r="E80" s="17" t="s">
        <v>335</v>
      </c>
      <c r="F80" s="4" t="s">
        <v>475</v>
      </c>
      <c r="G80" s="4" t="s">
        <v>617</v>
      </c>
      <c r="H80" s="17" t="s">
        <v>759</v>
      </c>
    </row>
    <row r="81" spans="1:8" x14ac:dyDescent="0.25">
      <c r="A81" s="4">
        <v>60991250</v>
      </c>
      <c r="B81" s="4"/>
      <c r="C81" s="4" t="s">
        <v>104</v>
      </c>
      <c r="D81" s="17" t="s">
        <v>196</v>
      </c>
      <c r="E81" s="17" t="s">
        <v>336</v>
      </c>
      <c r="F81" s="4" t="s">
        <v>476</v>
      </c>
      <c r="G81" s="4" t="s">
        <v>618</v>
      </c>
      <c r="H81" s="17" t="s">
        <v>760</v>
      </c>
    </row>
    <row r="82" spans="1:8" x14ac:dyDescent="0.25">
      <c r="A82" s="4">
        <v>72501808</v>
      </c>
      <c r="B82" s="4"/>
      <c r="C82" s="4" t="s">
        <v>104</v>
      </c>
      <c r="D82" s="17" t="s">
        <v>197</v>
      </c>
      <c r="E82" s="17" t="s">
        <v>337</v>
      </c>
      <c r="F82" s="4" t="s">
        <v>477</v>
      </c>
      <c r="G82" s="4" t="s">
        <v>619</v>
      </c>
      <c r="H82" s="17" t="s">
        <v>761</v>
      </c>
    </row>
    <row r="83" spans="1:8" x14ac:dyDescent="0.25">
      <c r="A83" s="4">
        <v>73941757</v>
      </c>
      <c r="B83" s="4"/>
      <c r="C83" s="4" t="s">
        <v>104</v>
      </c>
      <c r="D83" s="17" t="s">
        <v>198</v>
      </c>
      <c r="E83" s="17" t="s">
        <v>338</v>
      </c>
      <c r="F83" s="4" t="s">
        <v>478</v>
      </c>
      <c r="G83" s="4" t="s">
        <v>620</v>
      </c>
      <c r="H83" s="17" t="s">
        <v>762</v>
      </c>
    </row>
    <row r="84" spans="1:8" x14ac:dyDescent="0.25">
      <c r="A84" s="4">
        <v>60911974</v>
      </c>
      <c r="B84" s="4"/>
      <c r="C84" s="4" t="s">
        <v>106</v>
      </c>
      <c r="D84" s="17" t="s">
        <v>199</v>
      </c>
      <c r="E84" s="17" t="s">
        <v>339</v>
      </c>
      <c r="F84" s="4" t="s">
        <v>479</v>
      </c>
      <c r="G84" s="4" t="s">
        <v>621</v>
      </c>
      <c r="H84" s="17" t="s">
        <v>763</v>
      </c>
    </row>
    <row r="85" spans="1:8" x14ac:dyDescent="0.25">
      <c r="A85" s="4">
        <v>73652175</v>
      </c>
      <c r="B85" s="4"/>
      <c r="C85" s="4" t="s">
        <v>104</v>
      </c>
      <c r="D85" s="17" t="s">
        <v>200</v>
      </c>
      <c r="E85" s="17" t="s">
        <v>340</v>
      </c>
      <c r="F85" s="4" t="s">
        <v>480</v>
      </c>
      <c r="G85" s="4" t="s">
        <v>622</v>
      </c>
      <c r="H85" s="17" t="s">
        <v>764</v>
      </c>
    </row>
    <row r="86" spans="1:8" x14ac:dyDescent="0.25">
      <c r="A86" s="4">
        <v>46966910</v>
      </c>
      <c r="B86" s="4"/>
      <c r="C86" s="4" t="s">
        <v>114</v>
      </c>
      <c r="D86" s="17" t="s">
        <v>201</v>
      </c>
      <c r="E86" s="17" t="s">
        <v>341</v>
      </c>
      <c r="F86" s="4" t="s">
        <v>481</v>
      </c>
      <c r="G86" s="4" t="s">
        <v>623</v>
      </c>
      <c r="H86" s="17" t="s">
        <v>765</v>
      </c>
    </row>
    <row r="87" spans="1:8" x14ac:dyDescent="0.25">
      <c r="A87" s="4">
        <v>73300077</v>
      </c>
      <c r="B87" s="4"/>
      <c r="C87" s="4" t="s">
        <v>114</v>
      </c>
      <c r="D87" s="17" t="s">
        <v>202</v>
      </c>
      <c r="E87" s="17" t="s">
        <v>342</v>
      </c>
      <c r="F87" s="4" t="s">
        <v>482</v>
      </c>
      <c r="G87" s="4" t="s">
        <v>624</v>
      </c>
      <c r="H87" s="17" t="s">
        <v>766</v>
      </c>
    </row>
    <row r="88" spans="1:8" x14ac:dyDescent="0.25">
      <c r="A88" s="4">
        <v>60954644</v>
      </c>
      <c r="B88" s="4"/>
      <c r="C88" s="4" t="s">
        <v>104</v>
      </c>
      <c r="D88" s="17" t="s">
        <v>203</v>
      </c>
      <c r="E88" s="17" t="s">
        <v>343</v>
      </c>
      <c r="F88" s="4" t="s">
        <v>483</v>
      </c>
      <c r="G88" s="4" t="s">
        <v>625</v>
      </c>
      <c r="H88" s="17" t="s">
        <v>767</v>
      </c>
    </row>
    <row r="89" spans="1:8" x14ac:dyDescent="0.25">
      <c r="A89" s="4">
        <v>75959747</v>
      </c>
      <c r="B89" s="4"/>
      <c r="C89" s="4" t="s">
        <v>114</v>
      </c>
      <c r="D89" s="17" t="s">
        <v>204</v>
      </c>
      <c r="E89" s="17" t="s">
        <v>344</v>
      </c>
      <c r="F89" s="4" t="s">
        <v>484</v>
      </c>
      <c r="G89" s="4" t="s">
        <v>626</v>
      </c>
      <c r="H89" s="17" t="s">
        <v>768</v>
      </c>
    </row>
    <row r="90" spans="1:8" x14ac:dyDescent="0.25">
      <c r="A90" s="4">
        <v>71859767</v>
      </c>
      <c r="B90" s="4"/>
      <c r="C90" s="4" t="s">
        <v>105</v>
      </c>
      <c r="D90" s="17" t="s">
        <v>205</v>
      </c>
      <c r="E90" s="17" t="s">
        <v>345</v>
      </c>
      <c r="F90" s="4" t="s">
        <v>485</v>
      </c>
      <c r="G90" s="4" t="s">
        <v>627</v>
      </c>
      <c r="H90" s="17" t="s">
        <v>769</v>
      </c>
    </row>
    <row r="91" spans="1:8" x14ac:dyDescent="0.25">
      <c r="A91" s="4">
        <v>23984656</v>
      </c>
      <c r="B91" s="4"/>
      <c r="C91" s="4" t="s">
        <v>114</v>
      </c>
      <c r="D91" s="17" t="s">
        <v>206</v>
      </c>
      <c r="E91" s="17" t="s">
        <v>346</v>
      </c>
      <c r="F91" s="4" t="s">
        <v>486</v>
      </c>
      <c r="G91" s="4" t="s">
        <v>628</v>
      </c>
      <c r="H91" s="17" t="s">
        <v>770</v>
      </c>
    </row>
    <row r="92" spans="1:8" x14ac:dyDescent="0.25">
      <c r="A92" s="4" t="s">
        <v>112</v>
      </c>
      <c r="B92" s="4"/>
      <c r="C92" s="4" t="s">
        <v>114</v>
      </c>
      <c r="D92" s="17" t="s">
        <v>207</v>
      </c>
      <c r="E92" s="17" t="s">
        <v>347</v>
      </c>
      <c r="F92" s="4" t="s">
        <v>487</v>
      </c>
      <c r="G92" s="4" t="s">
        <v>629</v>
      </c>
      <c r="H92" s="17" t="s">
        <v>771</v>
      </c>
    </row>
    <row r="93" spans="1:8" x14ac:dyDescent="0.25">
      <c r="A93" s="4">
        <v>42913641</v>
      </c>
      <c r="B93" s="4"/>
      <c r="C93" s="4" t="s">
        <v>114</v>
      </c>
      <c r="D93" s="17" t="s">
        <v>208</v>
      </c>
      <c r="E93" s="17" t="s">
        <v>348</v>
      </c>
      <c r="F93" s="4" t="s">
        <v>488</v>
      </c>
      <c r="G93" s="4" t="s">
        <v>630</v>
      </c>
      <c r="H93" s="17" t="s">
        <v>772</v>
      </c>
    </row>
    <row r="94" spans="1:8" x14ac:dyDescent="0.25">
      <c r="A94" s="4">
        <v>60777931</v>
      </c>
      <c r="B94" s="4"/>
      <c r="C94" s="4" t="s">
        <v>114</v>
      </c>
      <c r="D94" s="17" t="s">
        <v>209</v>
      </c>
      <c r="E94" s="17" t="s">
        <v>349</v>
      </c>
      <c r="F94" s="4" t="s">
        <v>489</v>
      </c>
      <c r="G94" s="4" t="s">
        <v>631</v>
      </c>
      <c r="H94" s="17" t="s">
        <v>773</v>
      </c>
    </row>
    <row r="95" spans="1:8" x14ac:dyDescent="0.25">
      <c r="A95" s="4">
        <v>46741192</v>
      </c>
      <c r="B95" s="4"/>
      <c r="C95" s="4" t="s">
        <v>114</v>
      </c>
      <c r="D95" s="17" t="s">
        <v>210</v>
      </c>
      <c r="E95" s="17" t="s">
        <v>350</v>
      </c>
      <c r="F95" s="4" t="s">
        <v>490</v>
      </c>
      <c r="G95" s="4" t="s">
        <v>632</v>
      </c>
      <c r="H95" s="17" t="s">
        <v>774</v>
      </c>
    </row>
    <row r="96" spans="1:8" x14ac:dyDescent="0.25">
      <c r="A96" s="4">
        <v>40524243</v>
      </c>
      <c r="B96" s="4"/>
      <c r="C96" s="4" t="s">
        <v>114</v>
      </c>
      <c r="D96" s="17" t="s">
        <v>211</v>
      </c>
      <c r="E96" s="17" t="s">
        <v>351</v>
      </c>
      <c r="F96" s="4" t="s">
        <v>491</v>
      </c>
      <c r="G96" s="4" t="s">
        <v>633</v>
      </c>
      <c r="H96" s="17" t="s">
        <v>775</v>
      </c>
    </row>
    <row r="97" spans="1:8" x14ac:dyDescent="0.25">
      <c r="A97" s="4">
        <v>21863556</v>
      </c>
      <c r="B97" s="4"/>
      <c r="C97" s="4" t="s">
        <v>114</v>
      </c>
      <c r="D97" s="17" t="s">
        <v>212</v>
      </c>
      <c r="E97" s="17" t="s">
        <v>352</v>
      </c>
      <c r="F97" s="4" t="s">
        <v>492</v>
      </c>
      <c r="G97" s="4" t="s">
        <v>634</v>
      </c>
      <c r="H97" s="17" t="s">
        <v>776</v>
      </c>
    </row>
    <row r="98" spans="1:8" x14ac:dyDescent="0.25">
      <c r="A98" s="4">
        <v>42720410</v>
      </c>
      <c r="B98" s="4"/>
      <c r="C98" s="4" t="s">
        <v>114</v>
      </c>
      <c r="D98" s="17" t="s">
        <v>213</v>
      </c>
      <c r="E98" s="17" t="s">
        <v>353</v>
      </c>
      <c r="F98" s="4" t="s">
        <v>493</v>
      </c>
      <c r="G98" s="4" t="s">
        <v>635</v>
      </c>
      <c r="H98" s="17" t="s">
        <v>777</v>
      </c>
    </row>
    <row r="99" spans="1:8" x14ac:dyDescent="0.25">
      <c r="A99" s="4">
        <v>71061962</v>
      </c>
      <c r="B99" s="4"/>
      <c r="C99" s="4" t="s">
        <v>115</v>
      </c>
      <c r="D99" s="17" t="s">
        <v>214</v>
      </c>
      <c r="E99" s="17" t="s">
        <v>354</v>
      </c>
      <c r="F99" s="4" t="s">
        <v>494</v>
      </c>
      <c r="G99" s="4" t="s">
        <v>636</v>
      </c>
      <c r="H99" s="17" t="s">
        <v>778</v>
      </c>
    </row>
    <row r="100" spans="1:8" x14ac:dyDescent="0.25">
      <c r="A100" s="4">
        <v>60886660</v>
      </c>
      <c r="B100" s="4"/>
      <c r="C100" s="4" t="s">
        <v>114</v>
      </c>
      <c r="D100" s="17" t="s">
        <v>215</v>
      </c>
      <c r="E100" s="17" t="s">
        <v>355</v>
      </c>
      <c r="F100" s="4" t="s">
        <v>495</v>
      </c>
      <c r="G100" s="4" t="s">
        <v>637</v>
      </c>
      <c r="H100" s="17" t="s">
        <v>779</v>
      </c>
    </row>
    <row r="101" spans="1:8" x14ac:dyDescent="0.25">
      <c r="A101" s="4">
        <v>78105587</v>
      </c>
      <c r="B101" s="4"/>
      <c r="C101" s="4" t="s">
        <v>114</v>
      </c>
      <c r="D101" s="17" t="s">
        <v>216</v>
      </c>
      <c r="E101" s="17" t="s">
        <v>356</v>
      </c>
      <c r="F101" s="4" t="s">
        <v>496</v>
      </c>
      <c r="G101" s="4" t="s">
        <v>638</v>
      </c>
      <c r="H101" s="17" t="s">
        <v>780</v>
      </c>
    </row>
    <row r="102" spans="1:8" x14ac:dyDescent="0.25">
      <c r="A102" s="4">
        <v>45356308</v>
      </c>
      <c r="B102" s="4"/>
      <c r="C102" s="4" t="s">
        <v>104</v>
      </c>
      <c r="D102" s="17" t="s">
        <v>217</v>
      </c>
      <c r="E102" s="17" t="s">
        <v>357</v>
      </c>
      <c r="F102" s="4" t="s">
        <v>497</v>
      </c>
      <c r="G102" s="4" t="s">
        <v>639</v>
      </c>
      <c r="H102" s="17" t="s">
        <v>781</v>
      </c>
    </row>
    <row r="103" spans="1:8" x14ac:dyDescent="0.25">
      <c r="A103" s="4">
        <v>46709229</v>
      </c>
      <c r="B103" s="4"/>
      <c r="C103" s="4" t="s">
        <v>115</v>
      </c>
      <c r="D103" s="17" t="s">
        <v>218</v>
      </c>
      <c r="E103" s="17" t="s">
        <v>358</v>
      </c>
      <c r="F103" s="4" t="s">
        <v>498</v>
      </c>
      <c r="G103" s="4" t="s">
        <v>640</v>
      </c>
      <c r="H103" s="17" t="s">
        <v>782</v>
      </c>
    </row>
    <row r="104" spans="1:8" x14ac:dyDescent="0.25">
      <c r="A104" s="4">
        <v>61144951</v>
      </c>
      <c r="B104" s="4"/>
      <c r="C104" s="4" t="s">
        <v>114</v>
      </c>
      <c r="D104" s="17" t="s">
        <v>219</v>
      </c>
      <c r="E104" s="17" t="s">
        <v>359</v>
      </c>
      <c r="F104" s="4" t="s">
        <v>499</v>
      </c>
      <c r="G104" s="4" t="s">
        <v>641</v>
      </c>
      <c r="H104" s="17" t="s">
        <v>783</v>
      </c>
    </row>
    <row r="105" spans="1:8" x14ac:dyDescent="0.25">
      <c r="A105" s="4">
        <v>21481564</v>
      </c>
      <c r="B105" s="4"/>
      <c r="C105" s="4" t="s">
        <v>114</v>
      </c>
      <c r="D105" s="17" t="s">
        <v>220</v>
      </c>
      <c r="E105" s="17" t="s">
        <v>360</v>
      </c>
      <c r="F105" s="4" t="s">
        <v>500</v>
      </c>
      <c r="G105" s="4" t="s">
        <v>642</v>
      </c>
      <c r="H105" s="17" t="s">
        <v>784</v>
      </c>
    </row>
    <row r="106" spans="1:8" x14ac:dyDescent="0.25">
      <c r="A106" s="4">
        <v>21447535</v>
      </c>
      <c r="B106" s="4"/>
      <c r="C106" s="4" t="s">
        <v>114</v>
      </c>
      <c r="D106" s="17" t="s">
        <v>221</v>
      </c>
      <c r="E106" s="17" t="s">
        <v>66</v>
      </c>
      <c r="F106" s="4" t="s">
        <v>501</v>
      </c>
      <c r="G106" s="4" t="s">
        <v>643</v>
      </c>
      <c r="H106" s="17" t="s">
        <v>785</v>
      </c>
    </row>
    <row r="107" spans="1:8" x14ac:dyDescent="0.25">
      <c r="A107" s="4">
        <v>73831119</v>
      </c>
      <c r="B107" s="4"/>
      <c r="C107" s="4" t="s">
        <v>104</v>
      </c>
      <c r="D107" s="17" t="s">
        <v>222</v>
      </c>
      <c r="E107" s="17" t="s">
        <v>361</v>
      </c>
      <c r="F107" s="4" t="s">
        <v>502</v>
      </c>
      <c r="G107" s="4" t="s">
        <v>644</v>
      </c>
      <c r="H107" s="17" t="s">
        <v>786</v>
      </c>
    </row>
    <row r="108" spans="1:8" x14ac:dyDescent="0.25">
      <c r="A108" s="4">
        <v>26390777</v>
      </c>
      <c r="B108" s="4"/>
      <c r="C108" s="4" t="s">
        <v>114</v>
      </c>
      <c r="D108" s="17" t="s">
        <v>223</v>
      </c>
      <c r="E108" s="17" t="s">
        <v>362</v>
      </c>
      <c r="F108" s="4" t="s">
        <v>503</v>
      </c>
      <c r="G108" s="4" t="s">
        <v>645</v>
      </c>
      <c r="H108" s="17" t="s">
        <v>787</v>
      </c>
    </row>
    <row r="109" spans="1:8" x14ac:dyDescent="0.25">
      <c r="A109" s="4">
        <v>46408295</v>
      </c>
      <c r="B109" s="4"/>
      <c r="C109" s="4" t="s">
        <v>114</v>
      </c>
      <c r="D109" s="17" t="s">
        <v>224</v>
      </c>
      <c r="E109" s="17" t="s">
        <v>363</v>
      </c>
      <c r="F109" s="4" t="s">
        <v>504</v>
      </c>
      <c r="G109" s="4" t="s">
        <v>646</v>
      </c>
      <c r="H109" s="17" t="s">
        <v>788</v>
      </c>
    </row>
    <row r="110" spans="1:8" x14ac:dyDescent="0.25">
      <c r="A110" s="4">
        <v>77801897</v>
      </c>
      <c r="B110" s="4"/>
      <c r="C110" s="4" t="s">
        <v>104</v>
      </c>
      <c r="D110" s="17" t="s">
        <v>225</v>
      </c>
      <c r="E110" s="17" t="s">
        <v>364</v>
      </c>
      <c r="F110" s="4" t="s">
        <v>505</v>
      </c>
      <c r="G110" s="4" t="s">
        <v>647</v>
      </c>
      <c r="H110" s="17" t="s">
        <v>789</v>
      </c>
    </row>
    <row r="111" spans="1:8" x14ac:dyDescent="0.25">
      <c r="A111" s="4">
        <v>47311314</v>
      </c>
      <c r="B111" s="4"/>
      <c r="C111" s="4" t="s">
        <v>114</v>
      </c>
      <c r="D111" s="17" t="s">
        <v>226</v>
      </c>
      <c r="E111" s="17" t="s">
        <v>365</v>
      </c>
      <c r="F111" s="4" t="s">
        <v>506</v>
      </c>
      <c r="G111" s="4" t="s">
        <v>648</v>
      </c>
      <c r="H111" s="17" t="s">
        <v>790</v>
      </c>
    </row>
    <row r="112" spans="1:8" x14ac:dyDescent="0.25">
      <c r="A112" s="4">
        <v>41221018</v>
      </c>
      <c r="B112" s="4"/>
      <c r="C112" s="4" t="s">
        <v>114</v>
      </c>
      <c r="D112" s="17" t="s">
        <v>227</v>
      </c>
      <c r="E112" s="17" t="s">
        <v>366</v>
      </c>
      <c r="F112" s="4" t="s">
        <v>507</v>
      </c>
      <c r="G112" s="4" t="s">
        <v>649</v>
      </c>
      <c r="H112" s="17" t="s">
        <v>791</v>
      </c>
    </row>
    <row r="113" spans="1:8" x14ac:dyDescent="0.25">
      <c r="A113" s="4">
        <v>41551722</v>
      </c>
      <c r="B113" s="4"/>
      <c r="C113" s="4" t="s">
        <v>114</v>
      </c>
      <c r="D113" s="17" t="s">
        <v>228</v>
      </c>
      <c r="E113" s="17" t="s">
        <v>367</v>
      </c>
      <c r="F113" s="4" t="s">
        <v>508</v>
      </c>
      <c r="G113" s="4" t="s">
        <v>650</v>
      </c>
      <c r="H113" s="17" t="s">
        <v>792</v>
      </c>
    </row>
    <row r="114" spans="1:8" x14ac:dyDescent="0.25">
      <c r="A114" s="4">
        <v>46009972</v>
      </c>
      <c r="B114" s="4"/>
      <c r="C114" s="4" t="s">
        <v>114</v>
      </c>
      <c r="D114" s="17" t="s">
        <v>229</v>
      </c>
      <c r="E114" s="17" t="s">
        <v>368</v>
      </c>
      <c r="F114" s="4" t="s">
        <v>509</v>
      </c>
      <c r="G114" s="4" t="s">
        <v>651</v>
      </c>
      <c r="H114" s="17" t="s">
        <v>793</v>
      </c>
    </row>
    <row r="115" spans="1:8" x14ac:dyDescent="0.25">
      <c r="A115" s="4">
        <v>48083672</v>
      </c>
      <c r="B115" s="4"/>
      <c r="C115" s="4" t="s">
        <v>114</v>
      </c>
      <c r="D115" s="17" t="s">
        <v>230</v>
      </c>
      <c r="E115" s="17" t="s">
        <v>369</v>
      </c>
      <c r="F115" s="4" t="s">
        <v>510</v>
      </c>
      <c r="G115" s="4" t="s">
        <v>652</v>
      </c>
      <c r="H115" s="17" t="s">
        <v>794</v>
      </c>
    </row>
    <row r="116" spans="1:8" x14ac:dyDescent="0.25">
      <c r="A116" s="4">
        <v>46217418</v>
      </c>
      <c r="B116" s="4"/>
      <c r="C116" s="4" t="s">
        <v>115</v>
      </c>
      <c r="D116" s="17" t="s">
        <v>231</v>
      </c>
      <c r="E116" s="17" t="s">
        <v>370</v>
      </c>
      <c r="F116" s="4" t="s">
        <v>511</v>
      </c>
      <c r="G116" s="4" t="s">
        <v>653</v>
      </c>
      <c r="H116" s="17" t="s">
        <v>795</v>
      </c>
    </row>
    <row r="117" spans="1:8" x14ac:dyDescent="0.25">
      <c r="A117" s="4">
        <v>76917342</v>
      </c>
      <c r="B117" s="4"/>
      <c r="C117" s="4" t="s">
        <v>104</v>
      </c>
      <c r="D117" s="17" t="s">
        <v>232</v>
      </c>
      <c r="E117" s="17" t="s">
        <v>371</v>
      </c>
      <c r="F117" s="4" t="s">
        <v>512</v>
      </c>
      <c r="G117" s="4" t="s">
        <v>654</v>
      </c>
      <c r="H117" s="17" t="s">
        <v>796</v>
      </c>
    </row>
    <row r="118" spans="1:8" x14ac:dyDescent="0.25">
      <c r="A118" s="4">
        <v>46699784</v>
      </c>
      <c r="B118" s="4"/>
      <c r="C118" s="4" t="s">
        <v>107</v>
      </c>
      <c r="D118" s="17" t="s">
        <v>128</v>
      </c>
      <c r="E118" s="17" t="s">
        <v>372</v>
      </c>
      <c r="F118" s="4" t="s">
        <v>513</v>
      </c>
      <c r="G118" s="4" t="s">
        <v>655</v>
      </c>
      <c r="H118" s="17" t="s">
        <v>797</v>
      </c>
    </row>
    <row r="119" spans="1:8" x14ac:dyDescent="0.25">
      <c r="A119" s="4">
        <v>41869267</v>
      </c>
      <c r="B119" s="4"/>
      <c r="C119" s="4" t="s">
        <v>116</v>
      </c>
      <c r="D119" s="17" t="s">
        <v>233</v>
      </c>
      <c r="E119" s="17" t="s">
        <v>373</v>
      </c>
      <c r="F119" s="4" t="s">
        <v>514</v>
      </c>
      <c r="G119" s="4" t="s">
        <v>656</v>
      </c>
      <c r="H119" s="17" t="s">
        <v>798</v>
      </c>
    </row>
    <row r="120" spans="1:8" x14ac:dyDescent="0.25">
      <c r="A120" s="4">
        <v>48557983</v>
      </c>
      <c r="B120" s="4"/>
      <c r="C120" s="4" t="s">
        <v>114</v>
      </c>
      <c r="D120" s="17" t="s">
        <v>234</v>
      </c>
      <c r="E120" s="17" t="s">
        <v>374</v>
      </c>
      <c r="F120" s="4" t="s">
        <v>515</v>
      </c>
      <c r="G120" s="4" t="s">
        <v>657</v>
      </c>
      <c r="H120" s="17" t="s">
        <v>799</v>
      </c>
    </row>
    <row r="121" spans="1:8" x14ac:dyDescent="0.25">
      <c r="A121" s="4">
        <v>73509197</v>
      </c>
      <c r="B121" s="4"/>
      <c r="C121" s="4" t="s">
        <v>104</v>
      </c>
      <c r="D121" s="17" t="s">
        <v>235</v>
      </c>
      <c r="E121" s="17" t="s">
        <v>375</v>
      </c>
      <c r="F121" s="4" t="s">
        <v>516</v>
      </c>
      <c r="G121" s="4" t="s">
        <v>658</v>
      </c>
      <c r="H121" s="17" t="s">
        <v>800</v>
      </c>
    </row>
    <row r="122" spans="1:8" x14ac:dyDescent="0.25">
      <c r="A122" s="4">
        <v>72203114</v>
      </c>
      <c r="B122" s="4"/>
      <c r="C122" s="4" t="s">
        <v>114</v>
      </c>
      <c r="D122" s="17" t="s">
        <v>144</v>
      </c>
      <c r="E122" s="17" t="s">
        <v>376</v>
      </c>
      <c r="F122" s="4" t="s">
        <v>517</v>
      </c>
      <c r="G122" s="4" t="s">
        <v>659</v>
      </c>
      <c r="H122" s="17" t="s">
        <v>801</v>
      </c>
    </row>
    <row r="123" spans="1:8" x14ac:dyDescent="0.25">
      <c r="A123" s="4">
        <v>70328999</v>
      </c>
      <c r="B123" s="4"/>
      <c r="C123" s="4" t="s">
        <v>114</v>
      </c>
      <c r="D123" s="17" t="s">
        <v>236</v>
      </c>
      <c r="E123" s="17" t="s">
        <v>377</v>
      </c>
      <c r="F123" s="4" t="s">
        <v>518</v>
      </c>
      <c r="G123" s="4" t="s">
        <v>660</v>
      </c>
      <c r="H123" s="17" t="s">
        <v>802</v>
      </c>
    </row>
    <row r="124" spans="1:8" x14ac:dyDescent="0.25">
      <c r="A124" s="4">
        <v>44469798</v>
      </c>
      <c r="B124" s="4"/>
      <c r="C124" s="4" t="s">
        <v>115</v>
      </c>
      <c r="D124" s="17" t="s">
        <v>237</v>
      </c>
      <c r="E124" s="17" t="s">
        <v>378</v>
      </c>
      <c r="F124" s="4" t="s">
        <v>519</v>
      </c>
      <c r="G124" s="4" t="s">
        <v>661</v>
      </c>
      <c r="H124" s="17" t="s">
        <v>803</v>
      </c>
    </row>
    <row r="125" spans="1:8" x14ac:dyDescent="0.25">
      <c r="A125" s="4">
        <v>19937639</v>
      </c>
      <c r="B125" s="4"/>
      <c r="C125" s="4" t="s">
        <v>115</v>
      </c>
      <c r="D125" s="17" t="s">
        <v>238</v>
      </c>
      <c r="E125" s="17" t="s">
        <v>379</v>
      </c>
      <c r="F125" s="4" t="s">
        <v>520</v>
      </c>
      <c r="G125" s="4" t="s">
        <v>662</v>
      </c>
      <c r="H125" s="17" t="s">
        <v>804</v>
      </c>
    </row>
    <row r="126" spans="1:8" x14ac:dyDescent="0.25">
      <c r="A126" s="4">
        <v>73031724</v>
      </c>
      <c r="B126" s="4"/>
      <c r="C126" s="4" t="s">
        <v>114</v>
      </c>
      <c r="D126" s="17" t="s">
        <v>239</v>
      </c>
      <c r="E126" s="17" t="s">
        <v>380</v>
      </c>
      <c r="F126" s="4" t="s">
        <v>521</v>
      </c>
      <c r="G126" s="4" t="s">
        <v>663</v>
      </c>
      <c r="H126" s="17" t="s">
        <v>805</v>
      </c>
    </row>
    <row r="127" spans="1:8" x14ac:dyDescent="0.25">
      <c r="A127" s="4">
        <v>70534491</v>
      </c>
      <c r="B127" s="4"/>
      <c r="C127" s="4" t="s">
        <v>104</v>
      </c>
      <c r="D127" s="17" t="s">
        <v>240</v>
      </c>
      <c r="E127" s="17" t="s">
        <v>381</v>
      </c>
      <c r="F127" s="4" t="s">
        <v>522</v>
      </c>
      <c r="G127" s="4" t="s">
        <v>664</v>
      </c>
      <c r="H127" s="17" t="s">
        <v>806</v>
      </c>
    </row>
    <row r="128" spans="1:8" x14ac:dyDescent="0.25">
      <c r="A128" s="4">
        <v>77328350</v>
      </c>
      <c r="B128" s="4"/>
      <c r="C128" s="4" t="s">
        <v>115</v>
      </c>
      <c r="D128" s="17" t="s">
        <v>241</v>
      </c>
      <c r="E128" s="17" t="s">
        <v>382</v>
      </c>
      <c r="F128" s="4" t="s">
        <v>523</v>
      </c>
      <c r="G128" s="4" t="s">
        <v>665</v>
      </c>
      <c r="H128" s="17" t="s">
        <v>807</v>
      </c>
    </row>
    <row r="129" spans="1:8" x14ac:dyDescent="0.25">
      <c r="A129" s="4">
        <v>72022547</v>
      </c>
      <c r="B129" s="4"/>
      <c r="C129" s="4" t="s">
        <v>104</v>
      </c>
      <c r="D129" s="17" t="s">
        <v>242</v>
      </c>
      <c r="E129" s="17" t="s">
        <v>383</v>
      </c>
      <c r="F129" s="4" t="s">
        <v>524</v>
      </c>
      <c r="G129" s="4" t="s">
        <v>666</v>
      </c>
      <c r="H129" s="17" t="s">
        <v>808</v>
      </c>
    </row>
    <row r="130" spans="1:8" x14ac:dyDescent="0.25">
      <c r="A130" s="4">
        <v>79052077</v>
      </c>
      <c r="B130" s="4"/>
      <c r="C130" s="4" t="s">
        <v>114</v>
      </c>
      <c r="D130" s="17" t="s">
        <v>243</v>
      </c>
      <c r="E130" s="17" t="s">
        <v>384</v>
      </c>
      <c r="F130" s="4" t="s">
        <v>525</v>
      </c>
      <c r="G130" s="4" t="s">
        <v>667</v>
      </c>
      <c r="H130" s="17" t="s">
        <v>809</v>
      </c>
    </row>
    <row r="131" spans="1:8" x14ac:dyDescent="0.25">
      <c r="A131" s="4">
        <v>40011118</v>
      </c>
      <c r="B131" s="4"/>
      <c r="C131" s="4" t="s">
        <v>114</v>
      </c>
      <c r="D131" s="17" t="s">
        <v>244</v>
      </c>
      <c r="E131" s="17" t="s">
        <v>385</v>
      </c>
      <c r="F131" s="4" t="s">
        <v>526</v>
      </c>
      <c r="G131" s="4" t="s">
        <v>668</v>
      </c>
      <c r="H131" s="17" t="s">
        <v>810</v>
      </c>
    </row>
    <row r="132" spans="1:8" x14ac:dyDescent="0.25">
      <c r="A132" s="4">
        <v>40133557</v>
      </c>
      <c r="B132" s="4"/>
      <c r="C132" s="4" t="s">
        <v>114</v>
      </c>
      <c r="D132" s="17" t="s">
        <v>245</v>
      </c>
      <c r="E132" s="17" t="s">
        <v>386</v>
      </c>
      <c r="F132" s="4" t="s">
        <v>527</v>
      </c>
      <c r="G132" s="4" t="s">
        <v>669</v>
      </c>
      <c r="H132" s="17" t="s">
        <v>811</v>
      </c>
    </row>
    <row r="133" spans="1:8" x14ac:dyDescent="0.25">
      <c r="A133" s="4">
        <v>42622975</v>
      </c>
      <c r="B133" s="4"/>
      <c r="C133" s="4" t="s">
        <v>114</v>
      </c>
      <c r="D133" s="17" t="s">
        <v>246</v>
      </c>
      <c r="E133" s="17" t="s">
        <v>387</v>
      </c>
      <c r="F133" s="4" t="s">
        <v>528</v>
      </c>
      <c r="G133" s="4" t="s">
        <v>670</v>
      </c>
      <c r="H133" s="17" t="s">
        <v>812</v>
      </c>
    </row>
    <row r="134" spans="1:8" x14ac:dyDescent="0.25">
      <c r="A134" s="4">
        <v>72008153</v>
      </c>
      <c r="B134" s="4"/>
      <c r="C134" s="4" t="s">
        <v>114</v>
      </c>
      <c r="D134" s="17" t="s">
        <v>247</v>
      </c>
      <c r="E134" s="17" t="s">
        <v>388</v>
      </c>
      <c r="F134" s="4" t="s">
        <v>529</v>
      </c>
      <c r="G134" s="4" t="s">
        <v>671</v>
      </c>
      <c r="H134" s="17" t="s">
        <v>813</v>
      </c>
    </row>
    <row r="135" spans="1:8" x14ac:dyDescent="0.25">
      <c r="A135" s="4">
        <v>48891538</v>
      </c>
      <c r="B135" s="4"/>
      <c r="C135" s="4" t="s">
        <v>115</v>
      </c>
      <c r="D135" s="17" t="s">
        <v>248</v>
      </c>
      <c r="E135" s="17" t="s">
        <v>389</v>
      </c>
      <c r="F135" s="4" t="s">
        <v>530</v>
      </c>
      <c r="G135" s="4" t="s">
        <v>672</v>
      </c>
      <c r="H135" s="17" t="s">
        <v>814</v>
      </c>
    </row>
    <row r="136" spans="1:8" x14ac:dyDescent="0.25">
      <c r="A136" s="4">
        <v>75140474</v>
      </c>
      <c r="B136" s="4"/>
      <c r="C136" s="4" t="s">
        <v>114</v>
      </c>
      <c r="D136" s="17" t="s">
        <v>249</v>
      </c>
      <c r="E136" s="17" t="s">
        <v>390</v>
      </c>
      <c r="F136" s="4" t="s">
        <v>531</v>
      </c>
      <c r="G136" s="4" t="s">
        <v>673</v>
      </c>
      <c r="H136" s="17" t="s">
        <v>815</v>
      </c>
    </row>
    <row r="137" spans="1:8" x14ac:dyDescent="0.25">
      <c r="A137" s="4">
        <v>47575705</v>
      </c>
      <c r="B137" s="4"/>
      <c r="C137" s="4" t="s">
        <v>114</v>
      </c>
      <c r="D137" s="17" t="s">
        <v>250</v>
      </c>
      <c r="E137" s="17" t="s">
        <v>391</v>
      </c>
      <c r="F137" s="4" t="s">
        <v>532</v>
      </c>
      <c r="G137" s="4" t="s">
        <v>674</v>
      </c>
      <c r="H137" s="17" t="s">
        <v>816</v>
      </c>
    </row>
    <row r="138" spans="1:8" x14ac:dyDescent="0.25">
      <c r="A138" s="4">
        <v>43342566</v>
      </c>
      <c r="B138" s="4"/>
      <c r="C138" s="4" t="s">
        <v>114</v>
      </c>
      <c r="D138" s="17" t="s">
        <v>251</v>
      </c>
      <c r="E138" s="17" t="s">
        <v>392</v>
      </c>
      <c r="F138" s="4" t="s">
        <v>533</v>
      </c>
      <c r="G138" s="4" t="s">
        <v>675</v>
      </c>
      <c r="H138" s="17" t="s">
        <v>817</v>
      </c>
    </row>
    <row r="139" spans="1:8" x14ac:dyDescent="0.25">
      <c r="A139" s="4">
        <v>48497943</v>
      </c>
      <c r="B139" s="4"/>
      <c r="C139" s="4" t="s">
        <v>114</v>
      </c>
      <c r="D139" s="17" t="s">
        <v>252</v>
      </c>
      <c r="E139" s="17" t="s">
        <v>393</v>
      </c>
      <c r="F139" s="4" t="s">
        <v>534</v>
      </c>
      <c r="G139" s="4" t="s">
        <v>676</v>
      </c>
      <c r="H139" s="17" t="s">
        <v>818</v>
      </c>
    </row>
    <row r="140" spans="1:8" x14ac:dyDescent="0.25">
      <c r="A140" s="4">
        <v>46336086</v>
      </c>
      <c r="B140" s="4"/>
      <c r="C140" s="4" t="s">
        <v>114</v>
      </c>
      <c r="D140" s="17" t="s">
        <v>253</v>
      </c>
      <c r="E140" s="17" t="s">
        <v>394</v>
      </c>
      <c r="F140" s="4" t="s">
        <v>535</v>
      </c>
      <c r="G140" s="4" t="s">
        <v>677</v>
      </c>
      <c r="H140" s="17" t="s">
        <v>819</v>
      </c>
    </row>
    <row r="141" spans="1:8" x14ac:dyDescent="0.25">
      <c r="A141" s="4">
        <v>46149965</v>
      </c>
      <c r="B141" s="4"/>
      <c r="C141" s="4" t="s">
        <v>114</v>
      </c>
      <c r="D141" s="17" t="s">
        <v>254</v>
      </c>
      <c r="E141" s="17" t="s">
        <v>395</v>
      </c>
      <c r="F141" s="4" t="s">
        <v>536</v>
      </c>
      <c r="G141" s="4" t="s">
        <v>678</v>
      </c>
      <c r="H141" s="17" t="s">
        <v>820</v>
      </c>
    </row>
    <row r="142" spans="1:8" x14ac:dyDescent="0.25">
      <c r="A142" s="4">
        <v>61094246</v>
      </c>
      <c r="B142" s="4"/>
      <c r="C142" s="4" t="s">
        <v>114</v>
      </c>
      <c r="D142" s="17" t="s">
        <v>255</v>
      </c>
      <c r="E142" s="17" t="s">
        <v>396</v>
      </c>
      <c r="F142" s="4" t="s">
        <v>537</v>
      </c>
      <c r="G142" s="4" t="s">
        <v>679</v>
      </c>
      <c r="H142" s="17" t="s">
        <v>821</v>
      </c>
    </row>
    <row r="143" spans="1:8" x14ac:dyDescent="0.25">
      <c r="A143" s="4">
        <v>73359671</v>
      </c>
      <c r="B143" s="4"/>
      <c r="C143" s="4" t="s">
        <v>114</v>
      </c>
      <c r="D143" s="17" t="s">
        <v>256</v>
      </c>
      <c r="E143" s="17" t="s">
        <v>300</v>
      </c>
      <c r="F143" s="4" t="s">
        <v>538</v>
      </c>
      <c r="G143" s="4" t="s">
        <v>680</v>
      </c>
      <c r="H143" s="17" t="s">
        <v>822</v>
      </c>
    </row>
    <row r="144" spans="1:8" x14ac:dyDescent="0.25">
      <c r="A144" s="4"/>
      <c r="B144" s="4"/>
      <c r="C144" s="4"/>
      <c r="D144" s="17"/>
      <c r="E144" s="17"/>
      <c r="F144" s="4"/>
      <c r="G144" s="4"/>
      <c r="H144" s="17"/>
    </row>
    <row r="145" spans="1:8" x14ac:dyDescent="0.25">
      <c r="A145" s="4"/>
      <c r="B145" s="4"/>
      <c r="C145" s="4"/>
      <c r="D145" s="17"/>
      <c r="E145" s="17"/>
      <c r="F145" s="4"/>
      <c r="G145" s="4"/>
      <c r="H145" s="17"/>
    </row>
    <row r="146" spans="1:8" x14ac:dyDescent="0.25">
      <c r="A146" s="4"/>
      <c r="B146" s="4"/>
      <c r="C146" s="4"/>
      <c r="D146" s="17"/>
      <c r="E146" s="17"/>
      <c r="F146" s="4"/>
      <c r="G146" s="4"/>
      <c r="H146" s="17"/>
    </row>
    <row r="147" spans="1:8" x14ac:dyDescent="0.25">
      <c r="A147" s="4"/>
      <c r="B147" s="4"/>
      <c r="C147" s="4"/>
      <c r="D147" s="17"/>
      <c r="E147" s="17"/>
      <c r="F147" s="4"/>
      <c r="G147" s="4"/>
      <c r="H147" s="17"/>
    </row>
    <row r="148" spans="1:8" x14ac:dyDescent="0.25">
      <c r="A148" s="4"/>
      <c r="B148" s="4"/>
      <c r="C148" s="4"/>
      <c r="D148" s="17"/>
      <c r="E148" s="17"/>
      <c r="F148" s="4"/>
      <c r="G148" s="4"/>
      <c r="H148" s="17"/>
    </row>
    <row r="149" spans="1:8" x14ac:dyDescent="0.25">
      <c r="A149" s="4"/>
      <c r="B149" s="4"/>
      <c r="C149" s="4"/>
      <c r="D149" s="17"/>
      <c r="E149" s="17"/>
      <c r="F149" s="4"/>
      <c r="G149" s="4"/>
      <c r="H149" s="17"/>
    </row>
    <row r="150" spans="1:8" x14ac:dyDescent="0.25">
      <c r="A150" s="4"/>
      <c r="B150" s="4"/>
      <c r="C150" s="4"/>
      <c r="D150" s="17"/>
      <c r="E150" s="17"/>
      <c r="F150" s="4"/>
      <c r="G150" s="4"/>
      <c r="H150" s="17"/>
    </row>
    <row r="151" spans="1:8" x14ac:dyDescent="0.25">
      <c r="A151" s="4"/>
      <c r="B151" s="4"/>
      <c r="C151" s="4"/>
      <c r="D151" s="17"/>
      <c r="E151" s="17"/>
      <c r="F151" s="4"/>
      <c r="G151" s="4"/>
      <c r="H151" s="17"/>
    </row>
    <row r="152" spans="1:8" x14ac:dyDescent="0.25">
      <c r="A152" s="4"/>
      <c r="B152" s="4"/>
      <c r="C152" s="4"/>
      <c r="D152" s="17"/>
      <c r="E152" s="17"/>
      <c r="F152" s="4"/>
      <c r="G152" s="4"/>
      <c r="H152" s="17"/>
    </row>
    <row r="153" spans="1:8" x14ac:dyDescent="0.25">
      <c r="A153" s="4"/>
      <c r="B153" s="4"/>
      <c r="C153" s="4"/>
      <c r="D153" s="17"/>
      <c r="E153" s="17"/>
      <c r="F153" s="4"/>
      <c r="G153" s="4"/>
      <c r="H153" s="17"/>
    </row>
    <row r="154" spans="1:8" x14ac:dyDescent="0.25">
      <c r="A154" s="4"/>
      <c r="B154" s="4"/>
      <c r="C154" s="4"/>
      <c r="D154" s="17"/>
      <c r="E154" s="17"/>
      <c r="F154" s="4"/>
      <c r="G154" s="4"/>
      <c r="H154" s="17"/>
    </row>
    <row r="155" spans="1:8" x14ac:dyDescent="0.25">
      <c r="A155" s="4"/>
      <c r="B155" s="4"/>
      <c r="C155" s="4"/>
      <c r="D155" s="17"/>
      <c r="E155" s="17"/>
      <c r="F155" s="4"/>
      <c r="G155" s="4"/>
      <c r="H155" s="17"/>
    </row>
    <row r="156" spans="1:8" x14ac:dyDescent="0.25">
      <c r="A156" s="4"/>
      <c r="B156" s="4"/>
      <c r="C156" s="4"/>
      <c r="D156" s="17"/>
      <c r="E156" s="17"/>
      <c r="F156" s="4"/>
      <c r="G156" s="4"/>
      <c r="H156" s="17"/>
    </row>
    <row r="157" spans="1:8" x14ac:dyDescent="0.25">
      <c r="A157" s="4"/>
      <c r="B157" s="4"/>
      <c r="C157" s="4"/>
      <c r="D157" s="17"/>
      <c r="E157" s="17"/>
      <c r="F157" s="4"/>
      <c r="G157" s="4"/>
      <c r="H157" s="17"/>
    </row>
    <row r="158" spans="1:8" x14ac:dyDescent="0.25">
      <c r="A158" s="4"/>
      <c r="B158" s="4"/>
      <c r="C158" s="4"/>
      <c r="D158" s="17"/>
      <c r="E158" s="17"/>
      <c r="F158" s="4"/>
      <c r="G158" s="4"/>
      <c r="H158" s="17"/>
    </row>
    <row r="159" spans="1:8" x14ac:dyDescent="0.25">
      <c r="A159" s="4"/>
      <c r="B159" s="4"/>
      <c r="C159" s="4"/>
      <c r="D159" s="17"/>
      <c r="E159" s="17"/>
      <c r="F159" s="4"/>
      <c r="G159" s="4"/>
      <c r="H159" s="17"/>
    </row>
    <row r="160" spans="1:8" x14ac:dyDescent="0.25">
      <c r="A160" s="4"/>
      <c r="B160" s="4"/>
      <c r="C160" s="4"/>
      <c r="D160" s="17"/>
      <c r="E160" s="17"/>
      <c r="F160" s="4"/>
      <c r="G160" s="4"/>
      <c r="H160" s="17"/>
    </row>
    <row r="161" spans="1:8" x14ac:dyDescent="0.25">
      <c r="A161" s="4"/>
      <c r="B161" s="4"/>
      <c r="C161" s="4"/>
      <c r="D161" s="17"/>
      <c r="E161" s="17"/>
      <c r="F161" s="4"/>
      <c r="G161" s="4"/>
      <c r="H161" s="17"/>
    </row>
    <row r="162" spans="1:8" x14ac:dyDescent="0.25">
      <c r="A162" s="4"/>
      <c r="B162" s="4"/>
      <c r="C162" s="4"/>
      <c r="D162" s="17"/>
      <c r="E162" s="17"/>
      <c r="F162" s="4"/>
      <c r="G162" s="4"/>
      <c r="H162" s="17"/>
    </row>
    <row r="163" spans="1:8" x14ac:dyDescent="0.25">
      <c r="A163" s="4"/>
      <c r="B163" s="4"/>
      <c r="C163" s="4"/>
      <c r="D163" s="17"/>
      <c r="E163" s="17"/>
      <c r="F163" s="4"/>
      <c r="G163" s="4"/>
      <c r="H163" s="17"/>
    </row>
    <row r="164" spans="1:8" x14ac:dyDescent="0.25">
      <c r="A164" s="4"/>
      <c r="B164" s="4"/>
      <c r="C164" s="4"/>
      <c r="D164" s="17"/>
      <c r="E164" s="17"/>
      <c r="F164" s="4"/>
      <c r="G164" s="4"/>
      <c r="H164" s="17"/>
    </row>
    <row r="165" spans="1:8" x14ac:dyDescent="0.25">
      <c r="A165" s="4"/>
      <c r="B165" s="4"/>
      <c r="C165" s="4"/>
      <c r="D165" s="17"/>
      <c r="E165" s="17"/>
      <c r="F165" s="4"/>
      <c r="G165" s="4"/>
      <c r="H165" s="17"/>
    </row>
    <row r="166" spans="1:8" x14ac:dyDescent="0.25">
      <c r="A166" s="4"/>
      <c r="B166" s="4"/>
      <c r="C166" s="4"/>
      <c r="D166" s="17"/>
      <c r="E166" s="17"/>
      <c r="F166" s="4"/>
      <c r="G166" s="4"/>
      <c r="H166" s="17"/>
    </row>
    <row r="167" spans="1:8" x14ac:dyDescent="0.25">
      <c r="A167" s="4"/>
      <c r="B167" s="4"/>
      <c r="C167" s="4"/>
      <c r="D167" s="17"/>
      <c r="E167" s="17"/>
      <c r="F167" s="4"/>
      <c r="G167" s="4"/>
      <c r="H167" s="17"/>
    </row>
    <row r="168" spans="1:8" x14ac:dyDescent="0.25">
      <c r="A168" s="4"/>
      <c r="B168" s="4"/>
      <c r="C168" s="4"/>
      <c r="D168" s="17"/>
      <c r="E168" s="17"/>
      <c r="F168" s="4"/>
      <c r="G168" s="4"/>
      <c r="H168" s="17"/>
    </row>
    <row r="169" spans="1:8" x14ac:dyDescent="0.25">
      <c r="A169" s="4"/>
      <c r="B169" s="4"/>
      <c r="C169" s="4"/>
      <c r="D169" s="17"/>
      <c r="E169" s="17"/>
      <c r="F169" s="4"/>
      <c r="G169" s="4"/>
      <c r="H169" s="17"/>
    </row>
    <row r="170" spans="1:8" x14ac:dyDescent="0.25">
      <c r="A170" s="4"/>
      <c r="B170" s="4"/>
      <c r="C170" s="4"/>
      <c r="D170" s="17"/>
      <c r="E170" s="17"/>
      <c r="F170" s="4"/>
      <c r="G170" s="4"/>
      <c r="H170" s="17"/>
    </row>
    <row r="171" spans="1:8" x14ac:dyDescent="0.25">
      <c r="A171" s="4"/>
      <c r="B171" s="4"/>
      <c r="C171" s="4"/>
      <c r="D171" s="17"/>
      <c r="E171" s="17"/>
      <c r="F171" s="4"/>
      <c r="G171" s="4"/>
      <c r="H171" s="17"/>
    </row>
    <row r="172" spans="1:8" x14ac:dyDescent="0.25">
      <c r="A172" s="4"/>
      <c r="B172" s="4"/>
      <c r="C172" s="4"/>
      <c r="D172" s="17"/>
      <c r="E172" s="17"/>
      <c r="F172" s="4"/>
      <c r="G172" s="4"/>
      <c r="H172" s="17"/>
    </row>
    <row r="173" spans="1:8" x14ac:dyDescent="0.25">
      <c r="A173" s="4"/>
      <c r="B173" s="4"/>
      <c r="C173" s="4"/>
      <c r="D173" s="17"/>
      <c r="E173" s="17"/>
      <c r="F173" s="4"/>
      <c r="G173" s="4"/>
      <c r="H173" s="17"/>
    </row>
    <row r="174" spans="1:8" x14ac:dyDescent="0.25">
      <c r="A174" s="4"/>
      <c r="B174" s="4"/>
      <c r="C174" s="4"/>
      <c r="D174" s="17"/>
      <c r="E174" s="17"/>
      <c r="F174" s="4"/>
      <c r="G174" s="4"/>
      <c r="H174" s="17"/>
    </row>
    <row r="175" spans="1:8" x14ac:dyDescent="0.25">
      <c r="A175" s="4"/>
      <c r="B175" s="4"/>
      <c r="C175" s="4"/>
      <c r="D175" s="17"/>
      <c r="E175" s="17"/>
      <c r="F175" s="4"/>
      <c r="G175" s="4"/>
      <c r="H175" s="17"/>
    </row>
    <row r="176" spans="1:8" x14ac:dyDescent="0.25">
      <c r="A176" s="4"/>
      <c r="B176" s="4"/>
      <c r="C176" s="4"/>
      <c r="D176" s="17"/>
      <c r="E176" s="17"/>
      <c r="F176" s="4"/>
      <c r="G176" s="4"/>
      <c r="H176" s="17"/>
    </row>
    <row r="177" spans="1:8" x14ac:dyDescent="0.25">
      <c r="A177" s="4"/>
      <c r="B177" s="4"/>
      <c r="C177" s="4"/>
      <c r="D177" s="17"/>
      <c r="E177" s="17"/>
      <c r="F177" s="4"/>
      <c r="G177" s="4"/>
      <c r="H177" s="17"/>
    </row>
    <row r="178" spans="1:8" x14ac:dyDescent="0.25">
      <c r="A178" s="4"/>
      <c r="B178" s="4"/>
      <c r="C178" s="4"/>
      <c r="D178" s="17"/>
      <c r="E178" s="17"/>
      <c r="F178" s="4"/>
      <c r="G178" s="4"/>
      <c r="H178" s="17"/>
    </row>
    <row r="179" spans="1:8" x14ac:dyDescent="0.25">
      <c r="A179" s="4"/>
      <c r="B179" s="4"/>
      <c r="C179" s="4"/>
      <c r="D179" s="17"/>
      <c r="E179" s="17"/>
      <c r="F179" s="4"/>
      <c r="G179" s="4"/>
      <c r="H179" s="17"/>
    </row>
    <row r="180" spans="1:8" x14ac:dyDescent="0.25">
      <c r="A180" s="4"/>
      <c r="B180" s="4"/>
      <c r="C180" s="4"/>
      <c r="D180" s="17"/>
      <c r="E180" s="17"/>
      <c r="F180" s="4"/>
      <c r="G180" s="4"/>
      <c r="H180" s="17"/>
    </row>
    <row r="181" spans="1:8" x14ac:dyDescent="0.25">
      <c r="A181" s="4"/>
      <c r="B181" s="4"/>
      <c r="C181" s="4"/>
      <c r="D181" s="17"/>
      <c r="E181" s="17"/>
      <c r="F181" s="4"/>
      <c r="G181" s="4"/>
      <c r="H181" s="17"/>
    </row>
    <row r="182" spans="1:8" x14ac:dyDescent="0.25">
      <c r="A182" s="4"/>
      <c r="B182" s="4"/>
      <c r="C182" s="4"/>
      <c r="D182" s="17"/>
      <c r="E182" s="17"/>
      <c r="F182" s="4"/>
      <c r="G182" s="4"/>
      <c r="H182" s="17"/>
    </row>
    <row r="183" spans="1:8" x14ac:dyDescent="0.25">
      <c r="A183" s="4"/>
      <c r="B183" s="4"/>
      <c r="C183" s="4"/>
      <c r="D183" s="17"/>
      <c r="E183" s="17"/>
      <c r="F183" s="4"/>
      <c r="G183" s="4"/>
      <c r="H183" s="17"/>
    </row>
    <row r="184" spans="1:8" x14ac:dyDescent="0.25">
      <c r="A184" s="4"/>
      <c r="B184" s="4"/>
      <c r="C184" s="4"/>
      <c r="D184" s="17"/>
      <c r="E184" s="17"/>
      <c r="F184" s="4"/>
      <c r="G184" s="4"/>
      <c r="H184" s="17"/>
    </row>
    <row r="185" spans="1:8" x14ac:dyDescent="0.25">
      <c r="A185" s="4"/>
      <c r="B185" s="4"/>
      <c r="C185" s="4"/>
      <c r="D185" s="17"/>
      <c r="E185" s="17"/>
      <c r="F185" s="4"/>
      <c r="G185" s="4"/>
      <c r="H185" s="17"/>
    </row>
    <row r="186" spans="1:8" x14ac:dyDescent="0.25">
      <c r="A186" s="4"/>
      <c r="B186" s="4"/>
      <c r="C186" s="4"/>
      <c r="D186" s="17"/>
      <c r="E186" s="17"/>
      <c r="F186" s="4"/>
      <c r="G186" s="4"/>
      <c r="H186" s="17"/>
    </row>
    <row r="187" spans="1:8" x14ac:dyDescent="0.25">
      <c r="A187" s="4"/>
      <c r="B187" s="4"/>
      <c r="C187" s="4"/>
      <c r="D187" s="17"/>
      <c r="E187" s="17"/>
      <c r="F187" s="4"/>
      <c r="G187" s="4"/>
      <c r="H187" s="17"/>
    </row>
    <row r="188" spans="1:8" x14ac:dyDescent="0.25">
      <c r="A188" s="4"/>
      <c r="B188" s="4"/>
      <c r="C188" s="4"/>
      <c r="D188" s="17"/>
      <c r="E188" s="17"/>
      <c r="F188" s="4"/>
      <c r="G188" s="4"/>
      <c r="H188" s="17"/>
    </row>
    <row r="189" spans="1:8" x14ac:dyDescent="0.25">
      <c r="A189" s="4"/>
      <c r="B189" s="4"/>
      <c r="C189" s="4"/>
      <c r="D189" s="17"/>
      <c r="E189" s="17"/>
      <c r="F189" s="4"/>
      <c r="G189" s="4"/>
      <c r="H189" s="17"/>
    </row>
    <row r="190" spans="1:8" x14ac:dyDescent="0.25">
      <c r="A190" s="4"/>
      <c r="B190" s="4"/>
      <c r="C190" s="4"/>
      <c r="D190" s="17"/>
      <c r="E190" s="17"/>
      <c r="F190" s="4"/>
      <c r="G190" s="4"/>
      <c r="H190" s="17"/>
    </row>
    <row r="191" spans="1:8" x14ac:dyDescent="0.25">
      <c r="A191" s="4"/>
      <c r="B191" s="4"/>
      <c r="C191" s="4"/>
      <c r="D191" s="17"/>
      <c r="E191" s="17"/>
      <c r="F191" s="4"/>
      <c r="G191" s="4"/>
      <c r="H191" s="17"/>
    </row>
    <row r="192" spans="1:8" x14ac:dyDescent="0.25">
      <c r="A192" s="4"/>
      <c r="B192" s="4"/>
      <c r="C192" s="4"/>
      <c r="D192" s="17"/>
      <c r="E192" s="17"/>
      <c r="F192" s="4"/>
      <c r="G192" s="4"/>
      <c r="H192" s="17"/>
    </row>
    <row r="193" spans="1:8" x14ac:dyDescent="0.25">
      <c r="A193" s="4"/>
      <c r="B193" s="4"/>
      <c r="C193" s="4"/>
      <c r="D193" s="17"/>
      <c r="E193" s="17"/>
      <c r="F193" s="4"/>
      <c r="G193" s="4"/>
      <c r="H193" s="17"/>
    </row>
    <row r="194" spans="1:8" x14ac:dyDescent="0.25">
      <c r="A194" s="4"/>
      <c r="B194" s="4"/>
      <c r="C194" s="4"/>
      <c r="D194" s="17"/>
      <c r="E194" s="17"/>
      <c r="F194" s="4"/>
      <c r="G194" s="4"/>
      <c r="H194" s="17"/>
    </row>
    <row r="195" spans="1:8" x14ac:dyDescent="0.25">
      <c r="A195" s="4"/>
      <c r="B195" s="4"/>
      <c r="C195" s="4"/>
      <c r="D195" s="17"/>
      <c r="E195" s="17"/>
      <c r="F195" s="4"/>
      <c r="G195" s="4"/>
      <c r="H195" s="17"/>
    </row>
    <row r="196" spans="1:8" x14ac:dyDescent="0.25">
      <c r="A196" s="4"/>
      <c r="B196" s="4"/>
      <c r="C196" s="4"/>
      <c r="D196" s="17"/>
      <c r="E196" s="17"/>
      <c r="F196" s="4"/>
      <c r="G196" s="4"/>
      <c r="H196" s="17"/>
    </row>
    <row r="197" spans="1:8" x14ac:dyDescent="0.25">
      <c r="A197" s="4"/>
      <c r="B197" s="4"/>
      <c r="C197" s="4"/>
      <c r="D197" s="17"/>
      <c r="E197" s="17"/>
      <c r="F197" s="4"/>
      <c r="G197" s="4"/>
      <c r="H197" s="17"/>
    </row>
    <row r="198" spans="1:8" x14ac:dyDescent="0.25">
      <c r="A198" s="4"/>
      <c r="B198" s="4"/>
      <c r="C198" s="4"/>
      <c r="D198" s="17"/>
      <c r="E198" s="17"/>
      <c r="F198" s="4"/>
      <c r="G198" s="4"/>
      <c r="H198" s="17"/>
    </row>
    <row r="199" spans="1:8" x14ac:dyDescent="0.25">
      <c r="A199" s="4"/>
      <c r="B199" s="4"/>
      <c r="C199" s="4"/>
      <c r="D199" s="17"/>
      <c r="E199" s="17"/>
      <c r="F199" s="4"/>
      <c r="G199" s="4"/>
      <c r="H199" s="17"/>
    </row>
    <row r="200" spans="1:8" x14ac:dyDescent="0.25">
      <c r="A200" s="4"/>
      <c r="B200" s="4"/>
      <c r="C200" s="4"/>
      <c r="D200" s="17"/>
      <c r="E200" s="17"/>
      <c r="F200" s="4"/>
      <c r="G200" s="4"/>
      <c r="H200" s="17"/>
    </row>
    <row r="201" spans="1:8" x14ac:dyDescent="0.25">
      <c r="A201" s="4"/>
      <c r="B201" s="4"/>
      <c r="C201" s="4"/>
      <c r="D201" s="17"/>
      <c r="E201" s="17"/>
      <c r="F201" s="4"/>
      <c r="G201" s="4"/>
      <c r="H201" s="17"/>
    </row>
    <row r="202" spans="1:8" x14ac:dyDescent="0.25">
      <c r="A202" s="4"/>
      <c r="B202" s="4"/>
      <c r="C202" s="4"/>
      <c r="D202" s="17"/>
      <c r="E202" s="17"/>
      <c r="F202" s="4"/>
      <c r="G202" s="4"/>
      <c r="H202" s="17"/>
    </row>
    <row r="203" spans="1:8" x14ac:dyDescent="0.25">
      <c r="A203" s="4"/>
      <c r="B203" s="4"/>
      <c r="C203" s="4"/>
      <c r="D203" s="17"/>
      <c r="E203" s="17"/>
      <c r="F203" s="4"/>
      <c r="G203" s="4"/>
      <c r="H203" s="17"/>
    </row>
    <row r="204" spans="1:8" x14ac:dyDescent="0.25">
      <c r="A204" s="4"/>
      <c r="B204" s="4"/>
      <c r="C204" s="4"/>
      <c r="D204" s="17"/>
      <c r="E204" s="17"/>
      <c r="F204" s="4"/>
      <c r="G204" s="4"/>
      <c r="H204" s="17"/>
    </row>
    <row r="205" spans="1:8" x14ac:dyDescent="0.25">
      <c r="A205" s="4"/>
      <c r="B205" s="4"/>
      <c r="C205" s="4"/>
      <c r="D205" s="17"/>
      <c r="E205" s="17"/>
      <c r="F205" s="4"/>
      <c r="G205" s="4"/>
      <c r="H205" s="17"/>
    </row>
    <row r="206" spans="1:8" x14ac:dyDescent="0.25">
      <c r="A206" s="4"/>
      <c r="B206" s="4"/>
      <c r="C206" s="4"/>
      <c r="D206" s="17"/>
      <c r="E206" s="17"/>
      <c r="F206" s="4"/>
      <c r="G206" s="4"/>
      <c r="H206" s="17"/>
    </row>
    <row r="207" spans="1:8" x14ac:dyDescent="0.25">
      <c r="A207" s="4"/>
      <c r="B207" s="4"/>
      <c r="C207" s="4"/>
      <c r="D207" s="17"/>
      <c r="E207" s="17"/>
      <c r="F207" s="4"/>
      <c r="G207" s="4"/>
      <c r="H207" s="17"/>
    </row>
    <row r="208" spans="1:8" x14ac:dyDescent="0.25">
      <c r="A208" s="4"/>
      <c r="B208" s="4"/>
      <c r="C208" s="4"/>
      <c r="D208" s="17"/>
      <c r="E208" s="17"/>
      <c r="F208" s="4"/>
      <c r="G208" s="4"/>
      <c r="H208" s="17"/>
    </row>
    <row r="209" spans="1:8" x14ac:dyDescent="0.25">
      <c r="A209" s="4"/>
      <c r="B209" s="4"/>
      <c r="C209" s="4"/>
      <c r="D209" s="17"/>
      <c r="E209" s="17"/>
      <c r="F209" s="4"/>
      <c r="G209" s="4"/>
      <c r="H209" s="17"/>
    </row>
    <row r="210" spans="1:8" x14ac:dyDescent="0.25">
      <c r="A210" s="4"/>
      <c r="B210" s="4"/>
      <c r="C210" s="4"/>
      <c r="D210" s="17"/>
      <c r="E210" s="17"/>
      <c r="F210" s="4"/>
      <c r="G210" s="4"/>
      <c r="H210" s="17"/>
    </row>
    <row r="211" spans="1:8" x14ac:dyDescent="0.25">
      <c r="A211" s="4"/>
      <c r="B211" s="4"/>
      <c r="C211" s="4"/>
      <c r="D211" s="17"/>
      <c r="E211" s="17"/>
      <c r="F211" s="4"/>
      <c r="G211" s="4"/>
      <c r="H211" s="17"/>
    </row>
    <row r="212" spans="1:8" x14ac:dyDescent="0.25">
      <c r="A212" s="4"/>
      <c r="B212" s="4"/>
      <c r="C212" s="4"/>
      <c r="D212" s="17"/>
      <c r="E212" s="17"/>
      <c r="F212" s="4"/>
      <c r="G212" s="4"/>
      <c r="H212" s="17"/>
    </row>
    <row r="213" spans="1:8" x14ac:dyDescent="0.25">
      <c r="A213" s="4"/>
      <c r="B213" s="4"/>
      <c r="C213" s="4"/>
      <c r="D213" s="17"/>
      <c r="E213" s="17"/>
      <c r="F213" s="4"/>
      <c r="G213" s="4"/>
      <c r="H213" s="17"/>
    </row>
    <row r="214" spans="1:8" x14ac:dyDescent="0.25">
      <c r="A214" s="4"/>
      <c r="B214" s="4"/>
      <c r="C214" s="4"/>
      <c r="D214" s="17"/>
      <c r="E214" s="17"/>
      <c r="F214" s="4"/>
      <c r="G214" s="4"/>
      <c r="H214" s="17"/>
    </row>
    <row r="215" spans="1:8" x14ac:dyDescent="0.25">
      <c r="A215" s="4"/>
      <c r="B215" s="4"/>
      <c r="C215" s="4"/>
      <c r="D215" s="17"/>
      <c r="E215" s="17"/>
      <c r="F215" s="4"/>
      <c r="G215" s="4"/>
      <c r="H215" s="17"/>
    </row>
    <row r="216" spans="1:8" x14ac:dyDescent="0.25">
      <c r="A216" s="4"/>
      <c r="B216" s="4"/>
      <c r="C216" s="4"/>
      <c r="D216" s="17"/>
      <c r="E216" s="17"/>
      <c r="F216" s="4"/>
      <c r="G216" s="4"/>
      <c r="H216" s="17"/>
    </row>
    <row r="217" spans="1:8" x14ac:dyDescent="0.25">
      <c r="A217" s="4"/>
      <c r="B217" s="4"/>
      <c r="C217" s="4"/>
      <c r="D217" s="17"/>
      <c r="E217" s="17"/>
      <c r="F217" s="4"/>
      <c r="G217" s="4"/>
      <c r="H217" s="17"/>
    </row>
    <row r="218" spans="1:8" x14ac:dyDescent="0.25">
      <c r="A218" s="4"/>
      <c r="B218" s="4"/>
      <c r="C218" s="4"/>
      <c r="D218" s="17"/>
      <c r="E218" s="17"/>
      <c r="F218" s="4"/>
      <c r="G218" s="4"/>
      <c r="H218" s="17"/>
    </row>
    <row r="219" spans="1:8" x14ac:dyDescent="0.25">
      <c r="A219" s="4"/>
      <c r="B219" s="4"/>
      <c r="C219" s="4"/>
      <c r="D219" s="17"/>
      <c r="E219" s="17"/>
      <c r="F219" s="4"/>
      <c r="G219" s="4"/>
      <c r="H219" s="17"/>
    </row>
    <row r="220" spans="1:8" x14ac:dyDescent="0.25">
      <c r="A220" s="4"/>
      <c r="B220" s="4"/>
      <c r="C220" s="4"/>
      <c r="D220" s="17"/>
      <c r="E220" s="17"/>
      <c r="F220" s="4"/>
      <c r="G220" s="4"/>
      <c r="H220" s="17"/>
    </row>
    <row r="221" spans="1:8" x14ac:dyDescent="0.25">
      <c r="A221" s="4"/>
      <c r="B221" s="4"/>
      <c r="C221" s="4"/>
      <c r="D221" s="17"/>
      <c r="E221" s="17"/>
      <c r="F221" s="4"/>
      <c r="G221" s="4"/>
      <c r="H221" s="17"/>
    </row>
    <row r="222" spans="1:8" x14ac:dyDescent="0.25">
      <c r="A222" s="4"/>
      <c r="B222" s="4"/>
      <c r="C222" s="4"/>
      <c r="D222" s="17"/>
      <c r="E222" s="17"/>
      <c r="F222" s="4"/>
      <c r="G222" s="4"/>
      <c r="H222" s="17"/>
    </row>
    <row r="223" spans="1:8" x14ac:dyDescent="0.25">
      <c r="A223" s="4"/>
      <c r="B223" s="4"/>
      <c r="C223" s="4"/>
      <c r="D223" s="17"/>
      <c r="E223" s="17"/>
      <c r="F223" s="4"/>
      <c r="G223" s="4"/>
      <c r="H223" s="17"/>
    </row>
    <row r="224" spans="1:8" x14ac:dyDescent="0.25">
      <c r="A224" s="4"/>
      <c r="B224" s="4"/>
      <c r="C224" s="4"/>
      <c r="D224" s="17"/>
      <c r="E224" s="17"/>
      <c r="F224" s="4"/>
      <c r="G224" s="4"/>
      <c r="H224" s="17"/>
    </row>
    <row r="225" spans="1:8" x14ac:dyDescent="0.25">
      <c r="A225" s="4"/>
      <c r="B225" s="4"/>
      <c r="C225" s="4"/>
      <c r="D225" s="17"/>
      <c r="E225" s="17"/>
      <c r="F225" s="4"/>
      <c r="G225" s="4"/>
      <c r="H225" s="17"/>
    </row>
    <row r="226" spans="1:8" x14ac:dyDescent="0.25">
      <c r="A226" s="4"/>
      <c r="B226" s="4"/>
      <c r="C226" s="4"/>
      <c r="D226" s="17"/>
      <c r="E226" s="17"/>
      <c r="F226" s="4"/>
      <c r="G226" s="4"/>
      <c r="H226" s="17"/>
    </row>
    <row r="227" spans="1:8" x14ac:dyDescent="0.25">
      <c r="A227" s="4"/>
      <c r="B227" s="4"/>
      <c r="C227" s="4"/>
      <c r="D227" s="17"/>
      <c r="E227" s="17"/>
      <c r="F227" s="4"/>
      <c r="G227" s="4"/>
      <c r="H227" s="17"/>
    </row>
    <row r="228" spans="1:8" x14ac:dyDescent="0.25">
      <c r="A228" s="4"/>
      <c r="B228" s="4"/>
      <c r="C228" s="4"/>
      <c r="D228" s="17"/>
      <c r="E228" s="17"/>
      <c r="F228" s="4"/>
      <c r="G228" s="4"/>
      <c r="H228" s="17"/>
    </row>
    <row r="229" spans="1:8" x14ac:dyDescent="0.25">
      <c r="A229" s="4"/>
      <c r="B229" s="4"/>
      <c r="C229" s="4"/>
      <c r="D229" s="17"/>
      <c r="E229" s="17"/>
      <c r="F229" s="4"/>
      <c r="G229" s="4"/>
      <c r="H229" s="17"/>
    </row>
    <row r="230" spans="1:8" x14ac:dyDescent="0.25">
      <c r="A230" s="4"/>
      <c r="B230" s="4"/>
      <c r="C230" s="4"/>
      <c r="D230" s="17"/>
      <c r="E230" s="17"/>
      <c r="F230" s="4"/>
      <c r="G230" s="4"/>
      <c r="H230" s="17"/>
    </row>
    <row r="231" spans="1:8" x14ac:dyDescent="0.25">
      <c r="A231" s="4"/>
      <c r="B231" s="4"/>
      <c r="C231" s="4"/>
      <c r="D231" s="17"/>
      <c r="E231" s="17"/>
      <c r="F231" s="4"/>
      <c r="G231" s="4"/>
      <c r="H231" s="17"/>
    </row>
    <row r="232" spans="1:8" x14ac:dyDescent="0.25">
      <c r="A232" s="4"/>
      <c r="B232" s="4"/>
      <c r="C232" s="4"/>
      <c r="D232" s="17"/>
      <c r="E232" s="17"/>
      <c r="F232" s="4"/>
      <c r="G232" s="4"/>
      <c r="H232" s="17"/>
    </row>
    <row r="233" spans="1:8" x14ac:dyDescent="0.25">
      <c r="A233" s="4"/>
      <c r="B233" s="4"/>
      <c r="C233" s="4"/>
      <c r="D233" s="17"/>
      <c r="E233" s="17"/>
      <c r="F233" s="4"/>
      <c r="G233" s="4"/>
      <c r="H233" s="17"/>
    </row>
    <row r="234" spans="1:8" x14ac:dyDescent="0.25">
      <c r="A234" s="4"/>
      <c r="B234" s="4"/>
      <c r="C234" s="4"/>
      <c r="D234" s="17"/>
      <c r="E234" s="17"/>
      <c r="F234" s="4"/>
      <c r="G234" s="4"/>
      <c r="H234" s="17"/>
    </row>
    <row r="235" spans="1:8" x14ac:dyDescent="0.25">
      <c r="A235" s="4"/>
      <c r="B235" s="4"/>
      <c r="C235" s="4"/>
      <c r="D235" s="17"/>
      <c r="E235" s="17"/>
      <c r="F235" s="4"/>
      <c r="G235" s="4"/>
      <c r="H235" s="17"/>
    </row>
    <row r="236" spans="1:8" x14ac:dyDescent="0.25">
      <c r="A236" s="4"/>
      <c r="B236" s="4"/>
      <c r="C236" s="4"/>
      <c r="D236" s="17"/>
      <c r="E236" s="17"/>
      <c r="F236" s="4"/>
      <c r="G236" s="4"/>
      <c r="H236" s="17"/>
    </row>
    <row r="237" spans="1:8" x14ac:dyDescent="0.25">
      <c r="A237" s="4"/>
      <c r="B237" s="4"/>
      <c r="C237" s="4"/>
      <c r="D237" s="17"/>
      <c r="E237" s="17"/>
      <c r="F237" s="4"/>
      <c r="G237" s="4"/>
      <c r="H237" s="17"/>
    </row>
    <row r="238" spans="1:8" x14ac:dyDescent="0.25">
      <c r="A238" s="4"/>
      <c r="B238" s="4"/>
      <c r="C238" s="4"/>
      <c r="D238" s="17"/>
      <c r="E238" s="17"/>
      <c r="F238" s="4"/>
      <c r="G238" s="4"/>
      <c r="H238" s="17"/>
    </row>
    <row r="239" spans="1:8" x14ac:dyDescent="0.25">
      <c r="A239" s="4"/>
      <c r="B239" s="4"/>
      <c r="C239" s="4"/>
      <c r="D239" s="17"/>
      <c r="E239" s="17"/>
      <c r="F239" s="4"/>
      <c r="G239" s="4"/>
      <c r="H239" s="17"/>
    </row>
    <row r="240" spans="1:8" x14ac:dyDescent="0.25">
      <c r="A240" s="4"/>
      <c r="B240" s="4"/>
      <c r="C240" s="4"/>
      <c r="D240" s="17"/>
      <c r="E240" s="17"/>
      <c r="F240" s="4"/>
      <c r="G240" s="4"/>
      <c r="H240" s="17"/>
    </row>
    <row r="241" spans="1:8" x14ac:dyDescent="0.25">
      <c r="A241" s="4"/>
      <c r="B241" s="4"/>
      <c r="C241" s="4"/>
      <c r="D241" s="17"/>
      <c r="E241" s="17"/>
      <c r="F241" s="4"/>
      <c r="G241" s="4"/>
      <c r="H241" s="17"/>
    </row>
    <row r="242" spans="1:8" x14ac:dyDescent="0.25">
      <c r="A242" s="4"/>
      <c r="B242" s="4"/>
      <c r="C242" s="4"/>
      <c r="D242" s="17"/>
      <c r="E242" s="17"/>
      <c r="F242" s="4"/>
      <c r="G242" s="4"/>
      <c r="H242" s="17"/>
    </row>
    <row r="243" spans="1:8" x14ac:dyDescent="0.25">
      <c r="A243" s="4"/>
      <c r="B243" s="4"/>
      <c r="C243" s="4"/>
      <c r="D243" s="17"/>
      <c r="E243" s="17"/>
      <c r="F243" s="4"/>
      <c r="G243" s="4"/>
      <c r="H243" s="17"/>
    </row>
    <row r="244" spans="1:8" x14ac:dyDescent="0.25">
      <c r="A244" s="4"/>
      <c r="B244" s="4"/>
      <c r="C244" s="4"/>
      <c r="D244" s="17"/>
      <c r="E244" s="17"/>
      <c r="F244" s="4"/>
      <c r="G244" s="4"/>
      <c r="H244" s="17"/>
    </row>
    <row r="245" spans="1:8" x14ac:dyDescent="0.25">
      <c r="A245" s="4"/>
      <c r="B245" s="4"/>
      <c r="C245" s="4"/>
      <c r="D245" s="17"/>
      <c r="E245" s="17"/>
      <c r="F245" s="4"/>
      <c r="G245" s="4"/>
      <c r="H245" s="17"/>
    </row>
    <row r="246" spans="1:8" x14ac:dyDescent="0.25">
      <c r="A246" s="4"/>
      <c r="B246" s="4"/>
      <c r="C246" s="4"/>
      <c r="D246" s="17"/>
      <c r="E246" s="17"/>
      <c r="F246" s="4"/>
      <c r="G246" s="4"/>
      <c r="H246" s="17"/>
    </row>
    <row r="247" spans="1:8" x14ac:dyDescent="0.25">
      <c r="A247" s="4"/>
      <c r="B247" s="4"/>
      <c r="C247" s="4"/>
      <c r="D247" s="17"/>
      <c r="E247" s="17"/>
      <c r="F247" s="4"/>
      <c r="G247" s="4"/>
      <c r="H247" s="17"/>
    </row>
    <row r="248" spans="1:8" x14ac:dyDescent="0.25">
      <c r="A248" s="4"/>
      <c r="B248" s="4"/>
      <c r="C248" s="4"/>
      <c r="D248" s="17"/>
      <c r="E248" s="17"/>
      <c r="F248" s="4"/>
      <c r="G248" s="4"/>
      <c r="H248" s="17"/>
    </row>
    <row r="249" spans="1:8" x14ac:dyDescent="0.25">
      <c r="A249" s="4"/>
      <c r="B249" s="4"/>
      <c r="C249" s="4"/>
      <c r="D249" s="17"/>
      <c r="E249" s="17"/>
      <c r="F249" s="4"/>
      <c r="G249" s="4"/>
      <c r="H249" s="17"/>
    </row>
    <row r="250" spans="1:8" x14ac:dyDescent="0.25">
      <c r="A250" s="4"/>
      <c r="B250" s="4"/>
      <c r="C250" s="4"/>
      <c r="D250" s="17"/>
      <c r="E250" s="17"/>
      <c r="F250" s="4"/>
      <c r="G250" s="4"/>
      <c r="H250" s="17"/>
    </row>
    <row r="251" spans="1:8" x14ac:dyDescent="0.25">
      <c r="A251" s="4"/>
      <c r="B251" s="4"/>
      <c r="C251" s="4"/>
      <c r="D251" s="17"/>
      <c r="E251" s="17"/>
      <c r="F251" s="4"/>
      <c r="G251" s="4"/>
      <c r="H251" s="17"/>
    </row>
    <row r="252" spans="1:8" x14ac:dyDescent="0.25">
      <c r="A252" s="4"/>
      <c r="B252" s="4"/>
      <c r="C252" s="4"/>
      <c r="D252" s="17"/>
      <c r="E252" s="17"/>
      <c r="F252" s="4"/>
      <c r="G252" s="4"/>
      <c r="H252" s="17"/>
    </row>
    <row r="253" spans="1:8" x14ac:dyDescent="0.25">
      <c r="A253" s="4"/>
      <c r="B253" s="4"/>
      <c r="C253" s="4"/>
      <c r="D253" s="17"/>
      <c r="E253" s="17"/>
      <c r="F253" s="4"/>
      <c r="G253" s="4"/>
      <c r="H253" s="17"/>
    </row>
    <row r="254" spans="1:8" x14ac:dyDescent="0.25">
      <c r="A254" s="4"/>
      <c r="B254" s="4"/>
      <c r="C254" s="4"/>
      <c r="D254" s="17"/>
      <c r="E254" s="17"/>
      <c r="F254" s="4"/>
      <c r="G254" s="4"/>
      <c r="H254" s="17"/>
    </row>
    <row r="255" spans="1:8" x14ac:dyDescent="0.25">
      <c r="A255" s="4"/>
      <c r="B255" s="4"/>
      <c r="C255" s="4"/>
      <c r="D255" s="17"/>
      <c r="E255" s="17"/>
      <c r="F255" s="4"/>
      <c r="G255" s="4"/>
      <c r="H255" s="17"/>
    </row>
    <row r="256" spans="1:8" x14ac:dyDescent="0.25">
      <c r="A256" s="4"/>
      <c r="B256" s="4"/>
      <c r="C256" s="4"/>
      <c r="D256" s="17"/>
      <c r="E256" s="17"/>
      <c r="F256" s="4"/>
      <c r="G256" s="4"/>
      <c r="H25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A5AB-C055-4331-A0C6-4F065C6E76D1}">
  <sheetPr filterMode="1"/>
  <dimension ref="A1:Z278"/>
  <sheetViews>
    <sheetView workbookViewId="0">
      <selection activeCell="C192" sqref="C192"/>
    </sheetView>
  </sheetViews>
  <sheetFormatPr baseColWidth="10" defaultRowHeight="15" x14ac:dyDescent="0.25"/>
  <cols>
    <col min="3" max="3" width="25.28515625" bestFit="1" customWidth="1"/>
  </cols>
  <sheetData>
    <row r="1" spans="1:26" x14ac:dyDescent="0.25">
      <c r="I1">
        <v>1</v>
      </c>
    </row>
    <row r="2" spans="1:26" hidden="1" x14ac:dyDescent="0.25">
      <c r="A2" s="12">
        <v>1</v>
      </c>
      <c r="B2" s="12" t="e">
        <f>VLOOKUP(D2,Datos!$A$1:$H$256,4,FALSE)</f>
        <v>#N/A</v>
      </c>
      <c r="C2" s="12" t="e">
        <f>VLOOKUP(D2,Datos!$A$1:$H$256,5,FALSE)</f>
        <v>#N/A</v>
      </c>
      <c r="D2" s="12">
        <v>60930028</v>
      </c>
      <c r="E2" s="12" t="e">
        <f>VLOOKUP(D2,Datos!$A$1:$H$256,6,FALSE)</f>
        <v>#N/A</v>
      </c>
      <c r="F2" s="12" t="e">
        <f>VLOOKUP(D2,Datos!$A$1:$H$256,7,FALSE)</f>
        <v>#N/A</v>
      </c>
      <c r="G2" s="12" t="e">
        <f>VLOOKUP(D2,Datos!$A$1:$H$256,8,FALSE)</f>
        <v>#N/A</v>
      </c>
      <c r="H2" s="12" t="s">
        <v>38</v>
      </c>
      <c r="I2" s="12" t="s">
        <v>97</v>
      </c>
      <c r="J2" s="12" t="s">
        <v>42</v>
      </c>
      <c r="K2" s="12" t="s">
        <v>90</v>
      </c>
      <c r="L2" s="12">
        <v>11</v>
      </c>
      <c r="M2" s="13">
        <f>IF(L2="","",(L2/25))</f>
        <v>0.44</v>
      </c>
      <c r="N2" s="12">
        <v>10</v>
      </c>
      <c r="O2" s="13">
        <f>IF(N2="","",(N2/10))</f>
        <v>1</v>
      </c>
      <c r="P2" s="12">
        <v>17</v>
      </c>
      <c r="Q2" s="13">
        <f>IF(P2="","",(P2/50))</f>
        <v>0.34</v>
      </c>
      <c r="R2" s="12">
        <v>3</v>
      </c>
      <c r="S2" s="13">
        <f>IF(R2="","",(R2/15))</f>
        <v>0.2</v>
      </c>
      <c r="T2" s="12">
        <f>L2+N2+P2+R2</f>
        <v>41</v>
      </c>
      <c r="U2" s="13">
        <f>IF(T2="","",(T2/100))</f>
        <v>0.41</v>
      </c>
      <c r="V2" s="13" t="str">
        <f t="shared" ref="V2:V65" si="0">IF(U2=0,"NO INGRESÓ","INGRESÓ")</f>
        <v>INGRESÓ</v>
      </c>
      <c r="W2" s="13" t="s">
        <v>88</v>
      </c>
      <c r="X2" s="14">
        <v>45745</v>
      </c>
      <c r="Y2" s="13" t="s">
        <v>96</v>
      </c>
      <c r="Z2" s="13" t="e">
        <f>VLOOKUP(D2,Datos!$A$1:$C$256,3,FALSE)</f>
        <v>#N/A</v>
      </c>
    </row>
    <row r="3" spans="1:26" hidden="1" x14ac:dyDescent="0.25">
      <c r="A3" s="12">
        <v>2</v>
      </c>
      <c r="B3" s="12" t="e">
        <f>VLOOKUP(D3,Datos!$A$1:$H$256,4,FALSE)</f>
        <v>#N/A</v>
      </c>
      <c r="C3" s="12" t="e">
        <f>VLOOKUP(D3,Datos!$A$1:$H$256,5,FALSE)</f>
        <v>#N/A</v>
      </c>
      <c r="D3" s="12">
        <v>75018255</v>
      </c>
      <c r="E3" s="12" t="e">
        <f>VLOOKUP(D3,Datos!$A$1:$H$256,6,FALSE)</f>
        <v>#N/A</v>
      </c>
      <c r="F3" s="12" t="e">
        <f>VLOOKUP(D3,Datos!$A$1:$H$256,7,FALSE)</f>
        <v>#N/A</v>
      </c>
      <c r="G3" s="12" t="e">
        <f>VLOOKUP(D3,Datos!$A$1:$H$256,8,FALSE)</f>
        <v>#N/A</v>
      </c>
      <c r="H3" s="12" t="s">
        <v>38</v>
      </c>
      <c r="I3" s="12" t="s">
        <v>97</v>
      </c>
      <c r="J3" s="12" t="s">
        <v>42</v>
      </c>
      <c r="K3" s="12" t="s">
        <v>90</v>
      </c>
      <c r="L3" s="12">
        <v>14</v>
      </c>
      <c r="M3" s="13">
        <f t="shared" ref="M3:M66" si="1">IF(L3="","",(L3/25))</f>
        <v>0.56000000000000005</v>
      </c>
      <c r="N3" s="12">
        <v>8</v>
      </c>
      <c r="O3" s="13">
        <f t="shared" ref="O3:O66" si="2">IF(N3="","",(N3/10))</f>
        <v>0.8</v>
      </c>
      <c r="P3" s="12">
        <v>17</v>
      </c>
      <c r="Q3" s="13">
        <f t="shared" ref="Q3:Q66" si="3">IF(P3="","",(P3/50))</f>
        <v>0.34</v>
      </c>
      <c r="R3" s="12">
        <v>7</v>
      </c>
      <c r="S3" s="13">
        <f t="shared" ref="S3:S66" si="4">IF(R3="","",(R3/15))</f>
        <v>0.46666666666666667</v>
      </c>
      <c r="T3" s="12">
        <f t="shared" ref="T3:T66" si="5">L3+N3+P3+R3</f>
        <v>46</v>
      </c>
      <c r="U3" s="13">
        <f t="shared" ref="U3:U66" si="6">IF(T3="","",(T3/100))</f>
        <v>0.46</v>
      </c>
      <c r="V3" s="13" t="str">
        <f t="shared" si="0"/>
        <v>INGRESÓ</v>
      </c>
      <c r="W3" s="13" t="s">
        <v>88</v>
      </c>
      <c r="X3" s="14">
        <v>45745</v>
      </c>
      <c r="Y3" s="13" t="s">
        <v>96</v>
      </c>
      <c r="Z3" s="13" t="e">
        <f>VLOOKUP(D3,Datos!$A$1:$C$256,3,FALSE)</f>
        <v>#N/A</v>
      </c>
    </row>
    <row r="4" spans="1:26" hidden="1" x14ac:dyDescent="0.25">
      <c r="A4" s="12">
        <v>3</v>
      </c>
      <c r="B4" s="12" t="e">
        <f>VLOOKUP(D4,Datos!$A$1:$H$256,4,FALSE)</f>
        <v>#N/A</v>
      </c>
      <c r="C4" s="12" t="e">
        <f>VLOOKUP(D4,Datos!$A$1:$H$256,5,FALSE)</f>
        <v>#N/A</v>
      </c>
      <c r="D4" s="12">
        <v>71430099</v>
      </c>
      <c r="E4" s="12" t="e">
        <f>VLOOKUP(D4,Datos!$A$1:$H$256,6,FALSE)</f>
        <v>#N/A</v>
      </c>
      <c r="F4" s="12" t="e">
        <f>VLOOKUP(D4,Datos!$A$1:$H$256,7,FALSE)</f>
        <v>#N/A</v>
      </c>
      <c r="G4" s="12" t="e">
        <f>VLOOKUP(D4,Datos!$A$1:$H$256,8,FALSE)</f>
        <v>#N/A</v>
      </c>
      <c r="H4" s="12" t="s">
        <v>38</v>
      </c>
      <c r="I4" s="12" t="s">
        <v>55</v>
      </c>
      <c r="J4" s="12" t="s">
        <v>42</v>
      </c>
      <c r="K4" s="12" t="s">
        <v>90</v>
      </c>
      <c r="L4" s="12">
        <v>9</v>
      </c>
      <c r="M4" s="13">
        <f t="shared" si="1"/>
        <v>0.36</v>
      </c>
      <c r="N4" s="12">
        <v>8</v>
      </c>
      <c r="O4" s="13">
        <f t="shared" si="2"/>
        <v>0.8</v>
      </c>
      <c r="P4" s="12">
        <v>25</v>
      </c>
      <c r="Q4" s="13">
        <f t="shared" si="3"/>
        <v>0.5</v>
      </c>
      <c r="R4" s="12">
        <v>5</v>
      </c>
      <c r="S4" s="13">
        <f t="shared" si="4"/>
        <v>0.33333333333333331</v>
      </c>
      <c r="T4" s="12">
        <f t="shared" si="5"/>
        <v>47</v>
      </c>
      <c r="U4" s="13">
        <f t="shared" si="6"/>
        <v>0.47</v>
      </c>
      <c r="V4" s="13" t="str">
        <f t="shared" si="0"/>
        <v>INGRESÓ</v>
      </c>
      <c r="W4" s="13" t="s">
        <v>88</v>
      </c>
      <c r="X4" s="14">
        <v>45745</v>
      </c>
      <c r="Y4" s="13" t="s">
        <v>96</v>
      </c>
      <c r="Z4" s="13" t="e">
        <f>VLOOKUP(D4,Datos!$A$1:$C$256,3,FALSE)</f>
        <v>#N/A</v>
      </c>
    </row>
    <row r="5" spans="1:26" hidden="1" x14ac:dyDescent="0.25">
      <c r="A5" s="12">
        <v>4</v>
      </c>
      <c r="B5" s="12" t="e">
        <f>VLOOKUP(D5,Datos!$A$1:$H$256,4,FALSE)</f>
        <v>#N/A</v>
      </c>
      <c r="C5" s="12" t="e">
        <f>VLOOKUP(D5,Datos!$A$1:$H$256,5,FALSE)</f>
        <v>#N/A</v>
      </c>
      <c r="D5" s="12">
        <v>61247481</v>
      </c>
      <c r="E5" s="12" t="e">
        <f>VLOOKUP(D5,Datos!$A$1:$H$256,6,FALSE)</f>
        <v>#N/A</v>
      </c>
      <c r="F5" s="12" t="e">
        <f>VLOOKUP(D5,Datos!$A$1:$H$256,7,FALSE)</f>
        <v>#N/A</v>
      </c>
      <c r="G5" s="12" t="e">
        <f>VLOOKUP(D5,Datos!$A$1:$H$256,8,FALSE)</f>
        <v>#N/A</v>
      </c>
      <c r="H5" s="12" t="s">
        <v>38</v>
      </c>
      <c r="I5" s="12" t="s">
        <v>55</v>
      </c>
      <c r="J5" s="12" t="s">
        <v>42</v>
      </c>
      <c r="K5" s="12" t="s">
        <v>90</v>
      </c>
      <c r="L5" s="12">
        <v>10</v>
      </c>
      <c r="M5" s="13">
        <f t="shared" si="1"/>
        <v>0.4</v>
      </c>
      <c r="N5" s="12">
        <v>7</v>
      </c>
      <c r="O5" s="13">
        <f t="shared" si="2"/>
        <v>0.7</v>
      </c>
      <c r="P5" s="12">
        <v>10</v>
      </c>
      <c r="Q5" s="13">
        <f t="shared" si="3"/>
        <v>0.2</v>
      </c>
      <c r="R5" s="12">
        <v>3</v>
      </c>
      <c r="S5" s="13">
        <f t="shared" si="4"/>
        <v>0.2</v>
      </c>
      <c r="T5" s="12">
        <f t="shared" si="5"/>
        <v>30</v>
      </c>
      <c r="U5" s="13">
        <f t="shared" si="6"/>
        <v>0.3</v>
      </c>
      <c r="V5" s="13" t="str">
        <f t="shared" si="0"/>
        <v>INGRESÓ</v>
      </c>
      <c r="W5" s="13" t="s">
        <v>88</v>
      </c>
      <c r="X5" s="14">
        <v>45745</v>
      </c>
      <c r="Y5" s="13" t="s">
        <v>96</v>
      </c>
      <c r="Z5" s="13" t="e">
        <f>VLOOKUP(D5,Datos!$A$1:$C$256,3,FALSE)</f>
        <v>#N/A</v>
      </c>
    </row>
    <row r="6" spans="1:26" hidden="1" x14ac:dyDescent="0.25">
      <c r="A6" s="12">
        <v>5</v>
      </c>
      <c r="B6" s="12" t="e">
        <f>VLOOKUP(D6,Datos!$A$1:$H$256,4,FALSE)</f>
        <v>#N/A</v>
      </c>
      <c r="C6" s="12" t="e">
        <f>VLOOKUP(D6,Datos!$A$1:$H$256,5,FALSE)</f>
        <v>#N/A</v>
      </c>
      <c r="D6" s="12">
        <v>60984879</v>
      </c>
      <c r="E6" s="12" t="e">
        <f>VLOOKUP(D6,Datos!$A$1:$H$256,6,FALSE)</f>
        <v>#N/A</v>
      </c>
      <c r="F6" s="12" t="e">
        <f>VLOOKUP(D6,Datos!$A$1:$H$256,7,FALSE)</f>
        <v>#N/A</v>
      </c>
      <c r="G6" s="12" t="e">
        <f>VLOOKUP(D6,Datos!$A$1:$H$256,8,FALSE)</f>
        <v>#N/A</v>
      </c>
      <c r="H6" s="12" t="s">
        <v>38</v>
      </c>
      <c r="I6" s="12" t="s">
        <v>20</v>
      </c>
      <c r="J6" s="12" t="s">
        <v>42</v>
      </c>
      <c r="K6" s="12" t="s">
        <v>90</v>
      </c>
      <c r="L6" s="12">
        <v>13</v>
      </c>
      <c r="M6" s="13">
        <f t="shared" si="1"/>
        <v>0.52</v>
      </c>
      <c r="N6" s="12">
        <v>7</v>
      </c>
      <c r="O6" s="13">
        <f t="shared" si="2"/>
        <v>0.7</v>
      </c>
      <c r="P6" s="12">
        <v>18</v>
      </c>
      <c r="Q6" s="13">
        <f t="shared" si="3"/>
        <v>0.36</v>
      </c>
      <c r="R6" s="12">
        <v>6</v>
      </c>
      <c r="S6" s="13">
        <f t="shared" si="4"/>
        <v>0.4</v>
      </c>
      <c r="T6" s="12">
        <f t="shared" si="5"/>
        <v>44</v>
      </c>
      <c r="U6" s="13">
        <f t="shared" si="6"/>
        <v>0.44</v>
      </c>
      <c r="V6" s="13" t="str">
        <f t="shared" si="0"/>
        <v>INGRESÓ</v>
      </c>
      <c r="W6" s="13" t="s">
        <v>88</v>
      </c>
      <c r="X6" s="14">
        <v>45745</v>
      </c>
      <c r="Y6" s="13" t="s">
        <v>96</v>
      </c>
      <c r="Z6" s="13" t="e">
        <f>VLOOKUP(D6,Datos!$A$1:$C$256,3,FALSE)</f>
        <v>#N/A</v>
      </c>
    </row>
    <row r="7" spans="1:26" hidden="1" x14ac:dyDescent="0.25">
      <c r="A7" s="12">
        <v>6</v>
      </c>
      <c r="B7" s="12" t="e">
        <f>VLOOKUP(D7,Datos!$A$1:$H$256,4,FALSE)</f>
        <v>#N/A</v>
      </c>
      <c r="C7" s="12" t="e">
        <f>VLOOKUP(D7,Datos!$A$1:$H$256,5,FALSE)</f>
        <v>#N/A</v>
      </c>
      <c r="D7" s="12">
        <v>61247156</v>
      </c>
      <c r="E7" s="12" t="e">
        <f>VLOOKUP(D7,Datos!$A$1:$H$256,6,FALSE)</f>
        <v>#N/A</v>
      </c>
      <c r="F7" s="12" t="e">
        <f>VLOOKUP(D7,Datos!$A$1:$H$256,7,FALSE)</f>
        <v>#N/A</v>
      </c>
      <c r="G7" s="12" t="e">
        <f>VLOOKUP(D7,Datos!$A$1:$H$256,8,FALSE)</f>
        <v>#N/A</v>
      </c>
      <c r="H7" s="12" t="s">
        <v>38</v>
      </c>
      <c r="I7" s="12" t="s">
        <v>97</v>
      </c>
      <c r="J7" s="12" t="s">
        <v>42</v>
      </c>
      <c r="K7" s="12" t="s">
        <v>90</v>
      </c>
      <c r="L7" s="12">
        <v>12</v>
      </c>
      <c r="M7" s="13">
        <f t="shared" si="1"/>
        <v>0.48</v>
      </c>
      <c r="N7" s="12">
        <v>10</v>
      </c>
      <c r="O7" s="13">
        <f t="shared" si="2"/>
        <v>1</v>
      </c>
      <c r="P7" s="12">
        <v>20</v>
      </c>
      <c r="Q7" s="13">
        <f t="shared" si="3"/>
        <v>0.4</v>
      </c>
      <c r="R7" s="12">
        <v>5</v>
      </c>
      <c r="S7" s="13">
        <f t="shared" si="4"/>
        <v>0.33333333333333331</v>
      </c>
      <c r="T7" s="12">
        <f t="shared" si="5"/>
        <v>47</v>
      </c>
      <c r="U7" s="13">
        <f t="shared" si="6"/>
        <v>0.47</v>
      </c>
      <c r="V7" s="13" t="str">
        <f t="shared" si="0"/>
        <v>INGRESÓ</v>
      </c>
      <c r="W7" s="13" t="s">
        <v>88</v>
      </c>
      <c r="X7" s="14">
        <v>45745</v>
      </c>
      <c r="Y7" s="13" t="s">
        <v>96</v>
      </c>
      <c r="Z7" s="13" t="e">
        <f>VLOOKUP(D7,Datos!$A$1:$C$256,3,FALSE)</f>
        <v>#N/A</v>
      </c>
    </row>
    <row r="8" spans="1:26" hidden="1" x14ac:dyDescent="0.25">
      <c r="A8" s="12">
        <v>7</v>
      </c>
      <c r="B8" s="12" t="e">
        <f>VLOOKUP(D8,Datos!$A$1:$H$256,4,FALSE)</f>
        <v>#N/A</v>
      </c>
      <c r="C8" s="12" t="e">
        <f>VLOOKUP(D8,Datos!$A$1:$H$256,5,FALSE)</f>
        <v>#N/A</v>
      </c>
      <c r="D8" s="12">
        <v>61060130</v>
      </c>
      <c r="E8" s="12" t="e">
        <f>VLOOKUP(D8,Datos!$A$1:$H$256,6,FALSE)</f>
        <v>#N/A</v>
      </c>
      <c r="F8" s="12" t="e">
        <f>VLOOKUP(D8,Datos!$A$1:$H$256,7,FALSE)</f>
        <v>#N/A</v>
      </c>
      <c r="G8" s="12" t="e">
        <f>VLOOKUP(D8,Datos!$A$1:$H$256,8,FALSE)</f>
        <v>#N/A</v>
      </c>
      <c r="H8" s="12" t="s">
        <v>38</v>
      </c>
      <c r="I8" s="12" t="s">
        <v>97</v>
      </c>
      <c r="J8" s="12" t="s">
        <v>42</v>
      </c>
      <c r="K8" s="12" t="s">
        <v>90</v>
      </c>
      <c r="L8" s="12">
        <v>4</v>
      </c>
      <c r="M8" s="13">
        <f t="shared" si="1"/>
        <v>0.16</v>
      </c>
      <c r="N8" s="12">
        <v>1</v>
      </c>
      <c r="O8" s="13">
        <f t="shared" si="2"/>
        <v>0.1</v>
      </c>
      <c r="P8" s="12">
        <v>20</v>
      </c>
      <c r="Q8" s="13">
        <f t="shared" si="3"/>
        <v>0.4</v>
      </c>
      <c r="R8" s="12">
        <v>4</v>
      </c>
      <c r="S8" s="13">
        <f t="shared" si="4"/>
        <v>0.26666666666666666</v>
      </c>
      <c r="T8" s="12">
        <f t="shared" si="5"/>
        <v>29</v>
      </c>
      <c r="U8" s="13">
        <f t="shared" si="6"/>
        <v>0.28999999999999998</v>
      </c>
      <c r="V8" s="13" t="str">
        <f t="shared" si="0"/>
        <v>INGRESÓ</v>
      </c>
      <c r="W8" s="13" t="s">
        <v>88</v>
      </c>
      <c r="X8" s="14">
        <v>45745</v>
      </c>
      <c r="Y8" s="13" t="s">
        <v>96</v>
      </c>
      <c r="Z8" s="13" t="e">
        <f>VLOOKUP(D8,Datos!$A$1:$C$256,3,FALSE)</f>
        <v>#N/A</v>
      </c>
    </row>
    <row r="9" spans="1:26" hidden="1" x14ac:dyDescent="0.25">
      <c r="A9" s="12">
        <v>8</v>
      </c>
      <c r="B9" s="12" t="e">
        <f>VLOOKUP(D9,Datos!$A$1:$H$256,4,FALSE)</f>
        <v>#N/A</v>
      </c>
      <c r="C9" s="12" t="e">
        <f>VLOOKUP(D9,Datos!$A$1:$H$256,5,FALSE)</f>
        <v>#N/A</v>
      </c>
      <c r="D9" s="12">
        <v>72816481</v>
      </c>
      <c r="E9" s="12" t="e">
        <f>VLOOKUP(D9,Datos!$A$1:$H$256,6,FALSE)</f>
        <v>#N/A</v>
      </c>
      <c r="F9" s="12" t="e">
        <f>VLOOKUP(D9,Datos!$A$1:$H$256,7,FALSE)</f>
        <v>#N/A</v>
      </c>
      <c r="G9" s="12" t="e">
        <f>VLOOKUP(D9,Datos!$A$1:$H$256,8,FALSE)</f>
        <v>#N/A</v>
      </c>
      <c r="H9" s="12" t="s">
        <v>38</v>
      </c>
      <c r="I9" s="12" t="s">
        <v>97</v>
      </c>
      <c r="J9" s="12" t="s">
        <v>42</v>
      </c>
      <c r="K9" s="12" t="s">
        <v>90</v>
      </c>
      <c r="L9" s="12">
        <v>8</v>
      </c>
      <c r="M9" s="13">
        <f t="shared" si="1"/>
        <v>0.32</v>
      </c>
      <c r="N9" s="12">
        <v>8</v>
      </c>
      <c r="O9" s="13">
        <f t="shared" si="2"/>
        <v>0.8</v>
      </c>
      <c r="P9" s="12">
        <v>14</v>
      </c>
      <c r="Q9" s="13">
        <f t="shared" si="3"/>
        <v>0.28000000000000003</v>
      </c>
      <c r="R9" s="12">
        <v>7</v>
      </c>
      <c r="S9" s="13">
        <f t="shared" si="4"/>
        <v>0.46666666666666667</v>
      </c>
      <c r="T9" s="12">
        <f t="shared" si="5"/>
        <v>37</v>
      </c>
      <c r="U9" s="13">
        <f t="shared" si="6"/>
        <v>0.37</v>
      </c>
      <c r="V9" s="13" t="str">
        <f t="shared" si="0"/>
        <v>INGRESÓ</v>
      </c>
      <c r="W9" s="13" t="s">
        <v>88</v>
      </c>
      <c r="X9" s="14">
        <v>45745</v>
      </c>
      <c r="Y9" s="13" t="s">
        <v>96</v>
      </c>
      <c r="Z9" s="13" t="e">
        <f>VLOOKUP(D9,Datos!$A$1:$C$256,3,FALSE)</f>
        <v>#N/A</v>
      </c>
    </row>
    <row r="10" spans="1:26" hidden="1" x14ac:dyDescent="0.25">
      <c r="A10" s="12">
        <v>9</v>
      </c>
      <c r="B10" s="12" t="e">
        <f>VLOOKUP(D10,Datos!$A$1:$H$256,4,FALSE)</f>
        <v>#N/A</v>
      </c>
      <c r="C10" s="12" t="e">
        <f>VLOOKUP(D10,Datos!$A$1:$H$256,5,FALSE)</f>
        <v>#N/A</v>
      </c>
      <c r="D10" s="12">
        <v>60536595</v>
      </c>
      <c r="E10" s="12" t="e">
        <f>VLOOKUP(D10,Datos!$A$1:$H$256,6,FALSE)</f>
        <v>#N/A</v>
      </c>
      <c r="F10" s="12" t="e">
        <f>VLOOKUP(D10,Datos!$A$1:$H$256,7,FALSE)</f>
        <v>#N/A</v>
      </c>
      <c r="G10" s="12" t="e">
        <f>VLOOKUP(D10,Datos!$A$1:$H$256,8,FALSE)</f>
        <v>#N/A</v>
      </c>
      <c r="H10" s="12" t="s">
        <v>38</v>
      </c>
      <c r="I10" s="12" t="s">
        <v>20</v>
      </c>
      <c r="J10" s="12" t="s">
        <v>42</v>
      </c>
      <c r="K10" s="12" t="s">
        <v>90</v>
      </c>
      <c r="L10" s="12">
        <v>3</v>
      </c>
      <c r="M10" s="13">
        <f t="shared" si="1"/>
        <v>0.12</v>
      </c>
      <c r="N10" s="12">
        <v>5</v>
      </c>
      <c r="O10" s="13">
        <f t="shared" si="2"/>
        <v>0.5</v>
      </c>
      <c r="P10" s="12">
        <v>15</v>
      </c>
      <c r="Q10" s="13">
        <f t="shared" si="3"/>
        <v>0.3</v>
      </c>
      <c r="R10" s="12">
        <v>6</v>
      </c>
      <c r="S10" s="13">
        <f t="shared" si="4"/>
        <v>0.4</v>
      </c>
      <c r="T10" s="12">
        <f t="shared" si="5"/>
        <v>29</v>
      </c>
      <c r="U10" s="13">
        <f t="shared" si="6"/>
        <v>0.28999999999999998</v>
      </c>
      <c r="V10" s="13" t="str">
        <f t="shared" si="0"/>
        <v>INGRESÓ</v>
      </c>
      <c r="W10" s="13" t="s">
        <v>88</v>
      </c>
      <c r="X10" s="14">
        <v>45745</v>
      </c>
      <c r="Y10" s="13" t="s">
        <v>96</v>
      </c>
      <c r="Z10" s="13" t="e">
        <f>VLOOKUP(D10,Datos!$A$1:$C$256,3,FALSE)</f>
        <v>#N/A</v>
      </c>
    </row>
    <row r="11" spans="1:26" hidden="1" x14ac:dyDescent="0.25">
      <c r="A11" s="12">
        <v>10</v>
      </c>
      <c r="B11" s="12" t="e">
        <f>VLOOKUP(D11,Datos!$A$1:$H$256,4,FALSE)</f>
        <v>#N/A</v>
      </c>
      <c r="C11" s="12" t="e">
        <f>VLOOKUP(D11,Datos!$A$1:$H$256,5,FALSE)</f>
        <v>#N/A</v>
      </c>
      <c r="D11" s="12">
        <v>60984495</v>
      </c>
      <c r="E11" s="12" t="e">
        <f>VLOOKUP(D11,Datos!$A$1:$H$256,6,FALSE)</f>
        <v>#N/A</v>
      </c>
      <c r="F11" s="12" t="e">
        <f>VLOOKUP(D11,Datos!$A$1:$H$256,7,FALSE)</f>
        <v>#N/A</v>
      </c>
      <c r="G11" s="12" t="e">
        <f>VLOOKUP(D11,Datos!$A$1:$H$256,8,FALSE)</f>
        <v>#N/A</v>
      </c>
      <c r="H11" s="12" t="s">
        <v>38</v>
      </c>
      <c r="I11" s="12" t="s">
        <v>97</v>
      </c>
      <c r="J11" s="12" t="s">
        <v>42</v>
      </c>
      <c r="K11" s="12" t="s">
        <v>90</v>
      </c>
      <c r="L11" s="12">
        <v>7</v>
      </c>
      <c r="M11" s="13">
        <f t="shared" si="1"/>
        <v>0.28000000000000003</v>
      </c>
      <c r="N11" s="12">
        <v>8</v>
      </c>
      <c r="O11" s="13">
        <f t="shared" si="2"/>
        <v>0.8</v>
      </c>
      <c r="P11" s="12">
        <v>11</v>
      </c>
      <c r="Q11" s="13">
        <f t="shared" si="3"/>
        <v>0.22</v>
      </c>
      <c r="R11" s="12">
        <v>4</v>
      </c>
      <c r="S11" s="13">
        <f t="shared" si="4"/>
        <v>0.26666666666666666</v>
      </c>
      <c r="T11" s="12">
        <f t="shared" si="5"/>
        <v>30</v>
      </c>
      <c r="U11" s="13">
        <f t="shared" si="6"/>
        <v>0.3</v>
      </c>
      <c r="V11" s="13" t="str">
        <f t="shared" si="0"/>
        <v>INGRESÓ</v>
      </c>
      <c r="W11" s="13" t="s">
        <v>88</v>
      </c>
      <c r="X11" s="14">
        <v>45745</v>
      </c>
      <c r="Y11" s="13" t="s">
        <v>96</v>
      </c>
      <c r="Z11" s="13" t="e">
        <f>VLOOKUP(D11,Datos!$A$1:$C$256,3,FALSE)</f>
        <v>#N/A</v>
      </c>
    </row>
    <row r="12" spans="1:26" hidden="1" x14ac:dyDescent="0.25">
      <c r="A12" s="12">
        <v>11</v>
      </c>
      <c r="B12" s="12" t="e">
        <f>VLOOKUP(D12,Datos!$A$1:$H$256,4,FALSE)</f>
        <v>#N/A</v>
      </c>
      <c r="C12" s="12" t="e">
        <f>VLOOKUP(D12,Datos!$A$1:$H$256,5,FALSE)</f>
        <v>#N/A</v>
      </c>
      <c r="D12" s="12">
        <v>74756208</v>
      </c>
      <c r="E12" s="12" t="e">
        <f>VLOOKUP(D12,Datos!$A$1:$H$256,6,FALSE)</f>
        <v>#N/A</v>
      </c>
      <c r="F12" s="12" t="e">
        <f>VLOOKUP(D12,Datos!$A$1:$H$256,7,FALSE)</f>
        <v>#N/A</v>
      </c>
      <c r="G12" s="12" t="e">
        <f>VLOOKUP(D12,Datos!$A$1:$H$256,8,FALSE)</f>
        <v>#N/A</v>
      </c>
      <c r="H12" s="12" t="s">
        <v>38</v>
      </c>
      <c r="I12" s="12" t="s">
        <v>97</v>
      </c>
      <c r="J12" s="12" t="s">
        <v>42</v>
      </c>
      <c r="K12" s="12" t="s">
        <v>90</v>
      </c>
      <c r="L12" s="12">
        <v>11</v>
      </c>
      <c r="M12" s="13">
        <f t="shared" si="1"/>
        <v>0.44</v>
      </c>
      <c r="N12" s="12">
        <v>9</v>
      </c>
      <c r="O12" s="13">
        <f t="shared" si="2"/>
        <v>0.9</v>
      </c>
      <c r="P12" s="12">
        <v>17</v>
      </c>
      <c r="Q12" s="13">
        <f t="shared" si="3"/>
        <v>0.34</v>
      </c>
      <c r="R12" s="12">
        <v>4</v>
      </c>
      <c r="S12" s="13">
        <f t="shared" si="4"/>
        <v>0.26666666666666666</v>
      </c>
      <c r="T12" s="12">
        <f t="shared" si="5"/>
        <v>41</v>
      </c>
      <c r="U12" s="13">
        <f t="shared" si="6"/>
        <v>0.41</v>
      </c>
      <c r="V12" s="13" t="str">
        <f t="shared" si="0"/>
        <v>INGRESÓ</v>
      </c>
      <c r="W12" s="13" t="s">
        <v>88</v>
      </c>
      <c r="X12" s="14">
        <v>45745</v>
      </c>
      <c r="Y12" s="13" t="s">
        <v>96</v>
      </c>
      <c r="Z12" s="13" t="e">
        <f>VLOOKUP(D12,Datos!$A$1:$C$256,3,FALSE)</f>
        <v>#N/A</v>
      </c>
    </row>
    <row r="13" spans="1:26" hidden="1" x14ac:dyDescent="0.25">
      <c r="A13" s="12">
        <v>12</v>
      </c>
      <c r="B13" s="12" t="e">
        <f>VLOOKUP(D13,Datos!$A$1:$H$256,4,FALSE)</f>
        <v>#N/A</v>
      </c>
      <c r="C13" s="12" t="e">
        <f>VLOOKUP(D13,Datos!$A$1:$H$256,5,FALSE)</f>
        <v>#N/A</v>
      </c>
      <c r="D13" s="12">
        <v>60227545</v>
      </c>
      <c r="E13" s="12" t="e">
        <f>VLOOKUP(D13,Datos!$A$1:$H$256,6,FALSE)</f>
        <v>#N/A</v>
      </c>
      <c r="F13" s="12" t="e">
        <f>VLOOKUP(D13,Datos!$A$1:$H$256,7,FALSE)</f>
        <v>#N/A</v>
      </c>
      <c r="G13" s="12" t="e">
        <f>VLOOKUP(D13,Datos!$A$1:$H$256,8,FALSE)</f>
        <v>#N/A</v>
      </c>
      <c r="H13" s="12" t="s">
        <v>38</v>
      </c>
      <c r="I13" s="12" t="s">
        <v>98</v>
      </c>
      <c r="J13" s="12" t="s">
        <v>42</v>
      </c>
      <c r="K13" s="12" t="s">
        <v>90</v>
      </c>
      <c r="L13" s="12">
        <v>13</v>
      </c>
      <c r="M13" s="13">
        <f t="shared" si="1"/>
        <v>0.52</v>
      </c>
      <c r="N13" s="12">
        <v>2</v>
      </c>
      <c r="O13" s="13">
        <f t="shared" si="2"/>
        <v>0.2</v>
      </c>
      <c r="P13" s="12">
        <v>12</v>
      </c>
      <c r="Q13" s="13">
        <f t="shared" si="3"/>
        <v>0.24</v>
      </c>
      <c r="R13" s="12">
        <v>4</v>
      </c>
      <c r="S13" s="13">
        <f t="shared" si="4"/>
        <v>0.26666666666666666</v>
      </c>
      <c r="T13" s="12">
        <f t="shared" si="5"/>
        <v>31</v>
      </c>
      <c r="U13" s="13">
        <f t="shared" si="6"/>
        <v>0.31</v>
      </c>
      <c r="V13" s="13" t="str">
        <f t="shared" si="0"/>
        <v>INGRESÓ</v>
      </c>
      <c r="W13" s="13" t="s">
        <v>88</v>
      </c>
      <c r="X13" s="14">
        <v>45745</v>
      </c>
      <c r="Y13" s="13" t="s">
        <v>96</v>
      </c>
      <c r="Z13" s="13" t="e">
        <f>VLOOKUP(D13,Datos!$A$1:$C$256,3,FALSE)</f>
        <v>#N/A</v>
      </c>
    </row>
    <row r="14" spans="1:26" hidden="1" x14ac:dyDescent="0.25">
      <c r="A14" s="12">
        <v>13</v>
      </c>
      <c r="B14" s="12" t="e">
        <f>VLOOKUP(D14,Datos!$A$1:$H$256,4,FALSE)</f>
        <v>#N/A</v>
      </c>
      <c r="C14" s="12" t="e">
        <f>VLOOKUP(D14,Datos!$A$1:$H$256,5,FALSE)</f>
        <v>#N/A</v>
      </c>
      <c r="D14" s="12">
        <v>60752916</v>
      </c>
      <c r="E14" s="12" t="e">
        <f>VLOOKUP(D14,Datos!$A$1:$H$256,6,FALSE)</f>
        <v>#N/A</v>
      </c>
      <c r="F14" s="12" t="e">
        <f>VLOOKUP(D14,Datos!$A$1:$H$256,7,FALSE)</f>
        <v>#N/A</v>
      </c>
      <c r="G14" s="12" t="e">
        <f>VLOOKUP(D14,Datos!$A$1:$H$256,8,FALSE)</f>
        <v>#N/A</v>
      </c>
      <c r="H14" s="12" t="s">
        <v>38</v>
      </c>
      <c r="I14" s="12" t="s">
        <v>55</v>
      </c>
      <c r="J14" s="12" t="s">
        <v>42</v>
      </c>
      <c r="K14" s="12" t="s">
        <v>90</v>
      </c>
      <c r="L14" s="12">
        <v>10</v>
      </c>
      <c r="M14" s="13">
        <f t="shared" si="1"/>
        <v>0.4</v>
      </c>
      <c r="N14" s="12">
        <v>9</v>
      </c>
      <c r="O14" s="13">
        <f t="shared" si="2"/>
        <v>0.9</v>
      </c>
      <c r="P14" s="12">
        <v>15</v>
      </c>
      <c r="Q14" s="13">
        <f t="shared" si="3"/>
        <v>0.3</v>
      </c>
      <c r="R14" s="12">
        <v>3</v>
      </c>
      <c r="S14" s="13">
        <f t="shared" si="4"/>
        <v>0.2</v>
      </c>
      <c r="T14" s="12">
        <f t="shared" si="5"/>
        <v>37</v>
      </c>
      <c r="U14" s="13">
        <f t="shared" si="6"/>
        <v>0.37</v>
      </c>
      <c r="V14" s="13" t="str">
        <f t="shared" si="0"/>
        <v>INGRESÓ</v>
      </c>
      <c r="W14" s="13" t="s">
        <v>88</v>
      </c>
      <c r="X14" s="14">
        <v>45745</v>
      </c>
      <c r="Y14" s="13" t="s">
        <v>96</v>
      </c>
      <c r="Z14" s="13" t="e">
        <f>VLOOKUP(D14,Datos!$A$1:$C$256,3,FALSE)</f>
        <v>#N/A</v>
      </c>
    </row>
    <row r="15" spans="1:26" hidden="1" x14ac:dyDescent="0.25">
      <c r="A15" s="12">
        <v>14</v>
      </c>
      <c r="B15" s="12" t="e">
        <f>VLOOKUP(D15,Datos!$A$1:$H$256,4,FALSE)</f>
        <v>#N/A</v>
      </c>
      <c r="C15" s="12" t="e">
        <f>VLOOKUP(D15,Datos!$A$1:$H$256,5,FALSE)</f>
        <v>#N/A</v>
      </c>
      <c r="D15" s="12">
        <v>72365689</v>
      </c>
      <c r="E15" s="12" t="e">
        <f>VLOOKUP(D15,Datos!$A$1:$H$256,6,FALSE)</f>
        <v>#N/A</v>
      </c>
      <c r="F15" s="12" t="e">
        <f>VLOOKUP(D15,Datos!$A$1:$H$256,7,FALSE)</f>
        <v>#N/A</v>
      </c>
      <c r="G15" s="12" t="e">
        <f>VLOOKUP(D15,Datos!$A$1:$H$256,8,FALSE)</f>
        <v>#N/A</v>
      </c>
      <c r="H15" s="12" t="s">
        <v>38</v>
      </c>
      <c r="I15" s="12" t="s">
        <v>20</v>
      </c>
      <c r="J15" s="12" t="s">
        <v>42</v>
      </c>
      <c r="K15" s="12" t="s">
        <v>90</v>
      </c>
      <c r="L15" s="12">
        <v>7</v>
      </c>
      <c r="M15" s="13">
        <f t="shared" si="1"/>
        <v>0.28000000000000003</v>
      </c>
      <c r="N15" s="12">
        <v>4</v>
      </c>
      <c r="O15" s="13">
        <f t="shared" si="2"/>
        <v>0.4</v>
      </c>
      <c r="P15" s="12">
        <v>10</v>
      </c>
      <c r="Q15" s="13">
        <f t="shared" si="3"/>
        <v>0.2</v>
      </c>
      <c r="R15" s="12">
        <v>5</v>
      </c>
      <c r="S15" s="13">
        <f t="shared" si="4"/>
        <v>0.33333333333333331</v>
      </c>
      <c r="T15" s="12">
        <f t="shared" si="5"/>
        <v>26</v>
      </c>
      <c r="U15" s="13">
        <f t="shared" si="6"/>
        <v>0.26</v>
      </c>
      <c r="V15" s="13" t="str">
        <f t="shared" si="0"/>
        <v>INGRESÓ</v>
      </c>
      <c r="W15" s="13" t="s">
        <v>88</v>
      </c>
      <c r="X15" s="14">
        <v>45745</v>
      </c>
      <c r="Y15" s="13" t="s">
        <v>96</v>
      </c>
      <c r="Z15" s="13" t="e">
        <f>VLOOKUP(D15,Datos!$A$1:$C$256,3,FALSE)</f>
        <v>#N/A</v>
      </c>
    </row>
    <row r="16" spans="1:26" hidden="1" x14ac:dyDescent="0.25">
      <c r="A16" s="12">
        <v>15</v>
      </c>
      <c r="B16" s="12" t="e">
        <f>VLOOKUP(D16,Datos!$A$1:$H$256,4,FALSE)</f>
        <v>#N/A</v>
      </c>
      <c r="C16" s="12" t="e">
        <f>VLOOKUP(D16,Datos!$A$1:$H$256,5,FALSE)</f>
        <v>#N/A</v>
      </c>
      <c r="D16" s="12">
        <v>71782286</v>
      </c>
      <c r="E16" s="12" t="e">
        <f>VLOOKUP(D16,Datos!$A$1:$H$256,6,FALSE)</f>
        <v>#N/A</v>
      </c>
      <c r="F16" s="12" t="e">
        <f>VLOOKUP(D16,Datos!$A$1:$H$256,7,FALSE)</f>
        <v>#N/A</v>
      </c>
      <c r="G16" s="12" t="e">
        <f>VLOOKUP(D16,Datos!$A$1:$H$256,8,FALSE)</f>
        <v>#N/A</v>
      </c>
      <c r="H16" s="12" t="s">
        <v>38</v>
      </c>
      <c r="I16" s="12" t="s">
        <v>97</v>
      </c>
      <c r="J16" s="12" t="s">
        <v>42</v>
      </c>
      <c r="K16" s="12" t="s">
        <v>90</v>
      </c>
      <c r="L16" s="12">
        <v>11</v>
      </c>
      <c r="M16" s="13">
        <f t="shared" si="1"/>
        <v>0.44</v>
      </c>
      <c r="N16" s="12">
        <v>6</v>
      </c>
      <c r="O16" s="13">
        <f t="shared" si="2"/>
        <v>0.6</v>
      </c>
      <c r="P16" s="12">
        <v>20</v>
      </c>
      <c r="Q16" s="13">
        <f t="shared" si="3"/>
        <v>0.4</v>
      </c>
      <c r="R16" s="12">
        <v>3</v>
      </c>
      <c r="S16" s="13">
        <f t="shared" si="4"/>
        <v>0.2</v>
      </c>
      <c r="T16" s="12">
        <f t="shared" si="5"/>
        <v>40</v>
      </c>
      <c r="U16" s="13">
        <f t="shared" si="6"/>
        <v>0.4</v>
      </c>
      <c r="V16" s="13" t="str">
        <f t="shared" si="0"/>
        <v>INGRESÓ</v>
      </c>
      <c r="W16" s="13" t="s">
        <v>88</v>
      </c>
      <c r="X16" s="14">
        <v>45745</v>
      </c>
      <c r="Y16" s="13" t="s">
        <v>96</v>
      </c>
      <c r="Z16" s="13" t="e">
        <f>VLOOKUP(D16,Datos!$A$1:$C$256,3,FALSE)</f>
        <v>#N/A</v>
      </c>
    </row>
    <row r="17" spans="1:26" hidden="1" x14ac:dyDescent="0.25">
      <c r="A17" s="12">
        <v>16</v>
      </c>
      <c r="B17" s="12" t="e">
        <f>VLOOKUP(D17,Datos!$A$1:$H$256,4,FALSE)</f>
        <v>#N/A</v>
      </c>
      <c r="C17" s="12" t="e">
        <f>VLOOKUP(D17,Datos!$A$1:$H$256,5,FALSE)</f>
        <v>#N/A</v>
      </c>
      <c r="D17" s="12">
        <v>61298128</v>
      </c>
      <c r="E17" s="12" t="e">
        <f>VLOOKUP(D17,Datos!$A$1:$H$256,6,FALSE)</f>
        <v>#N/A</v>
      </c>
      <c r="F17" s="12" t="e">
        <f>VLOOKUP(D17,Datos!$A$1:$H$256,7,FALSE)</f>
        <v>#N/A</v>
      </c>
      <c r="G17" s="12" t="e">
        <f>VLOOKUP(D17,Datos!$A$1:$H$256,8,FALSE)</f>
        <v>#N/A</v>
      </c>
      <c r="H17" s="12" t="s">
        <v>38</v>
      </c>
      <c r="I17" s="12" t="s">
        <v>20</v>
      </c>
      <c r="J17" s="12" t="s">
        <v>42</v>
      </c>
      <c r="K17" s="12" t="s">
        <v>90</v>
      </c>
      <c r="L17" s="12">
        <v>12</v>
      </c>
      <c r="M17" s="13">
        <f t="shared" si="1"/>
        <v>0.48</v>
      </c>
      <c r="N17" s="12">
        <v>10</v>
      </c>
      <c r="O17" s="13">
        <f t="shared" si="2"/>
        <v>1</v>
      </c>
      <c r="P17" s="12">
        <v>20</v>
      </c>
      <c r="Q17" s="13">
        <f t="shared" si="3"/>
        <v>0.4</v>
      </c>
      <c r="R17" s="12">
        <v>7</v>
      </c>
      <c r="S17" s="13">
        <f t="shared" si="4"/>
        <v>0.46666666666666667</v>
      </c>
      <c r="T17" s="12">
        <f t="shared" si="5"/>
        <v>49</v>
      </c>
      <c r="U17" s="13">
        <f t="shared" si="6"/>
        <v>0.49</v>
      </c>
      <c r="V17" s="13" t="str">
        <f t="shared" si="0"/>
        <v>INGRESÓ</v>
      </c>
      <c r="W17" s="13" t="s">
        <v>88</v>
      </c>
      <c r="X17" s="14">
        <v>45745</v>
      </c>
      <c r="Y17" s="13" t="s">
        <v>96</v>
      </c>
      <c r="Z17" s="13" t="e">
        <f>VLOOKUP(D17,Datos!$A$1:$C$256,3,FALSE)</f>
        <v>#N/A</v>
      </c>
    </row>
    <row r="18" spans="1:26" hidden="1" x14ac:dyDescent="0.25">
      <c r="A18" s="12">
        <v>17</v>
      </c>
      <c r="B18" s="12" t="e">
        <f>VLOOKUP(D18,Datos!$A$1:$H$256,4,FALSE)</f>
        <v>#N/A</v>
      </c>
      <c r="C18" s="12" t="e">
        <f>VLOOKUP(D18,Datos!$A$1:$H$256,5,FALSE)</f>
        <v>#N/A</v>
      </c>
      <c r="D18" s="12">
        <v>75006060</v>
      </c>
      <c r="E18" s="12" t="e">
        <f>VLOOKUP(D18,Datos!$A$1:$H$256,6,FALSE)</f>
        <v>#N/A</v>
      </c>
      <c r="F18" s="12" t="e">
        <f>VLOOKUP(D18,Datos!$A$1:$H$256,7,FALSE)</f>
        <v>#N/A</v>
      </c>
      <c r="G18" s="12" t="e">
        <f>VLOOKUP(D18,Datos!$A$1:$H$256,8,FALSE)</f>
        <v>#N/A</v>
      </c>
      <c r="H18" s="12" t="s">
        <v>38</v>
      </c>
      <c r="I18" s="12" t="s">
        <v>55</v>
      </c>
      <c r="J18" s="12" t="s">
        <v>42</v>
      </c>
      <c r="K18" s="12" t="s">
        <v>90</v>
      </c>
      <c r="L18" s="12">
        <v>9</v>
      </c>
      <c r="M18" s="13">
        <f t="shared" si="1"/>
        <v>0.36</v>
      </c>
      <c r="N18" s="12">
        <v>4</v>
      </c>
      <c r="O18" s="13">
        <f t="shared" si="2"/>
        <v>0.4</v>
      </c>
      <c r="P18" s="12">
        <v>8</v>
      </c>
      <c r="Q18" s="13">
        <f t="shared" si="3"/>
        <v>0.16</v>
      </c>
      <c r="R18" s="12">
        <v>6</v>
      </c>
      <c r="S18" s="13">
        <f t="shared" si="4"/>
        <v>0.4</v>
      </c>
      <c r="T18" s="12">
        <f t="shared" si="5"/>
        <v>27</v>
      </c>
      <c r="U18" s="13">
        <f t="shared" si="6"/>
        <v>0.27</v>
      </c>
      <c r="V18" s="13" t="str">
        <f t="shared" si="0"/>
        <v>INGRESÓ</v>
      </c>
      <c r="W18" s="13" t="s">
        <v>88</v>
      </c>
      <c r="X18" s="14">
        <v>45745</v>
      </c>
      <c r="Y18" s="13" t="s">
        <v>96</v>
      </c>
      <c r="Z18" s="13" t="e">
        <f>VLOOKUP(D18,Datos!$A$1:$C$256,3,FALSE)</f>
        <v>#N/A</v>
      </c>
    </row>
    <row r="19" spans="1:26" hidden="1" x14ac:dyDescent="0.25">
      <c r="A19" s="12">
        <v>18</v>
      </c>
      <c r="B19" s="12" t="e">
        <f>VLOOKUP(D19,Datos!$A$1:$H$256,4,FALSE)</f>
        <v>#N/A</v>
      </c>
      <c r="C19" s="12" t="e">
        <f>VLOOKUP(D19,Datos!$A$1:$H$256,5,FALSE)</f>
        <v>#N/A</v>
      </c>
      <c r="D19" s="12">
        <v>60071519</v>
      </c>
      <c r="E19" s="12" t="e">
        <f>VLOOKUP(D19,Datos!$A$1:$H$256,6,FALSE)</f>
        <v>#N/A</v>
      </c>
      <c r="F19" s="12" t="e">
        <f>VLOOKUP(D19,Datos!$A$1:$H$256,7,FALSE)</f>
        <v>#N/A</v>
      </c>
      <c r="G19" s="12" t="e">
        <f>VLOOKUP(D19,Datos!$A$1:$H$256,8,FALSE)</f>
        <v>#N/A</v>
      </c>
      <c r="H19" s="12" t="s">
        <v>38</v>
      </c>
      <c r="I19" s="12" t="s">
        <v>97</v>
      </c>
      <c r="J19" s="12" t="s">
        <v>42</v>
      </c>
      <c r="K19" s="12" t="s">
        <v>90</v>
      </c>
      <c r="L19" s="12">
        <v>8</v>
      </c>
      <c r="M19" s="13">
        <f t="shared" si="1"/>
        <v>0.32</v>
      </c>
      <c r="N19" s="12">
        <v>10</v>
      </c>
      <c r="O19" s="13">
        <f t="shared" si="2"/>
        <v>1</v>
      </c>
      <c r="P19" s="12">
        <v>12</v>
      </c>
      <c r="Q19" s="13">
        <f t="shared" si="3"/>
        <v>0.24</v>
      </c>
      <c r="R19" s="12">
        <v>5</v>
      </c>
      <c r="S19" s="13">
        <f t="shared" si="4"/>
        <v>0.33333333333333331</v>
      </c>
      <c r="T19" s="12">
        <f t="shared" si="5"/>
        <v>35</v>
      </c>
      <c r="U19" s="13">
        <f t="shared" si="6"/>
        <v>0.35</v>
      </c>
      <c r="V19" s="13" t="str">
        <f t="shared" si="0"/>
        <v>INGRESÓ</v>
      </c>
      <c r="W19" s="13" t="s">
        <v>88</v>
      </c>
      <c r="X19" s="14">
        <v>45745</v>
      </c>
      <c r="Y19" s="13" t="s">
        <v>96</v>
      </c>
      <c r="Z19" s="13" t="e">
        <f>VLOOKUP(D19,Datos!$A$1:$C$256,3,FALSE)</f>
        <v>#N/A</v>
      </c>
    </row>
    <row r="20" spans="1:26" hidden="1" x14ac:dyDescent="0.25">
      <c r="A20" s="12">
        <v>19</v>
      </c>
      <c r="B20" s="12" t="e">
        <f>VLOOKUP(D20,Datos!$A$1:$H$256,4,FALSE)</f>
        <v>#N/A</v>
      </c>
      <c r="C20" s="12" t="e">
        <f>VLOOKUP(D20,Datos!$A$1:$H$256,5,FALSE)</f>
        <v>#N/A</v>
      </c>
      <c r="D20" s="12">
        <v>43683200</v>
      </c>
      <c r="E20" s="12" t="e">
        <f>VLOOKUP(D20,Datos!$A$1:$H$256,6,FALSE)</f>
        <v>#N/A</v>
      </c>
      <c r="F20" s="12" t="e">
        <f>VLOOKUP(D20,Datos!$A$1:$H$256,7,FALSE)</f>
        <v>#N/A</v>
      </c>
      <c r="G20" s="12" t="e">
        <f>VLOOKUP(D20,Datos!$A$1:$H$256,8,FALSE)</f>
        <v>#N/A</v>
      </c>
      <c r="H20" s="12" t="s">
        <v>38</v>
      </c>
      <c r="I20" s="12" t="s">
        <v>97</v>
      </c>
      <c r="J20" s="12" t="s">
        <v>42</v>
      </c>
      <c r="K20" s="12" t="s">
        <v>90</v>
      </c>
      <c r="L20" s="12">
        <v>10</v>
      </c>
      <c r="M20" s="13">
        <f t="shared" si="1"/>
        <v>0.4</v>
      </c>
      <c r="N20" s="12">
        <v>2</v>
      </c>
      <c r="O20" s="13">
        <f t="shared" si="2"/>
        <v>0.2</v>
      </c>
      <c r="P20" s="12">
        <v>23</v>
      </c>
      <c r="Q20" s="13">
        <f t="shared" si="3"/>
        <v>0.46</v>
      </c>
      <c r="R20" s="12">
        <v>2</v>
      </c>
      <c r="S20" s="13">
        <f t="shared" si="4"/>
        <v>0.13333333333333333</v>
      </c>
      <c r="T20" s="12">
        <f t="shared" si="5"/>
        <v>37</v>
      </c>
      <c r="U20" s="13">
        <f t="shared" si="6"/>
        <v>0.37</v>
      </c>
      <c r="V20" s="13" t="str">
        <f t="shared" si="0"/>
        <v>INGRESÓ</v>
      </c>
      <c r="W20" s="13" t="s">
        <v>88</v>
      </c>
      <c r="X20" s="14">
        <v>45745</v>
      </c>
      <c r="Y20" s="13" t="s">
        <v>96</v>
      </c>
      <c r="Z20" s="13" t="e">
        <f>VLOOKUP(D20,Datos!$A$1:$C$256,3,FALSE)</f>
        <v>#N/A</v>
      </c>
    </row>
    <row r="21" spans="1:26" hidden="1" x14ac:dyDescent="0.25">
      <c r="A21" s="12">
        <v>20</v>
      </c>
      <c r="B21" s="12" t="e">
        <f>VLOOKUP(D21,Datos!$A$1:$H$256,4,FALSE)</f>
        <v>#N/A</v>
      </c>
      <c r="C21" s="12" t="e">
        <f>VLOOKUP(D21,Datos!$A$1:$H$256,5,FALSE)</f>
        <v>#N/A</v>
      </c>
      <c r="D21" s="12">
        <v>71179327</v>
      </c>
      <c r="E21" s="12" t="e">
        <f>VLOOKUP(D21,Datos!$A$1:$H$256,6,FALSE)</f>
        <v>#N/A</v>
      </c>
      <c r="F21" s="12" t="e">
        <f>VLOOKUP(D21,Datos!$A$1:$H$256,7,FALSE)</f>
        <v>#N/A</v>
      </c>
      <c r="G21" s="12" t="e">
        <f>VLOOKUP(D21,Datos!$A$1:$H$256,8,FALSE)</f>
        <v>#N/A</v>
      </c>
      <c r="H21" s="12" t="s">
        <v>38</v>
      </c>
      <c r="I21" s="12" t="s">
        <v>20</v>
      </c>
      <c r="J21" s="12" t="s">
        <v>42</v>
      </c>
      <c r="K21" s="12" t="s">
        <v>90</v>
      </c>
      <c r="L21" s="12">
        <v>13</v>
      </c>
      <c r="M21" s="13">
        <f t="shared" si="1"/>
        <v>0.52</v>
      </c>
      <c r="N21" s="12">
        <v>9</v>
      </c>
      <c r="O21" s="13">
        <f t="shared" si="2"/>
        <v>0.9</v>
      </c>
      <c r="P21" s="12">
        <v>23</v>
      </c>
      <c r="Q21" s="13">
        <f t="shared" si="3"/>
        <v>0.46</v>
      </c>
      <c r="R21" s="12">
        <v>4</v>
      </c>
      <c r="S21" s="13">
        <f t="shared" si="4"/>
        <v>0.26666666666666666</v>
      </c>
      <c r="T21" s="12">
        <f t="shared" si="5"/>
        <v>49</v>
      </c>
      <c r="U21" s="13">
        <f t="shared" si="6"/>
        <v>0.49</v>
      </c>
      <c r="V21" s="13" t="str">
        <f t="shared" si="0"/>
        <v>INGRESÓ</v>
      </c>
      <c r="W21" s="13" t="s">
        <v>88</v>
      </c>
      <c r="X21" s="14">
        <v>45745</v>
      </c>
      <c r="Y21" s="13" t="s">
        <v>96</v>
      </c>
      <c r="Z21" s="13" t="e">
        <f>VLOOKUP(D21,Datos!$A$1:$C$256,3,FALSE)</f>
        <v>#N/A</v>
      </c>
    </row>
    <row r="22" spans="1:26" hidden="1" x14ac:dyDescent="0.25">
      <c r="A22" s="12">
        <v>21</v>
      </c>
      <c r="B22" s="12" t="e">
        <f>VLOOKUP(D22,Datos!$A$1:$H$256,4,FALSE)</f>
        <v>#N/A</v>
      </c>
      <c r="C22" s="12" t="e">
        <f>VLOOKUP(D22,Datos!$A$1:$H$256,5,FALSE)</f>
        <v>#N/A</v>
      </c>
      <c r="D22" s="12">
        <v>60984410</v>
      </c>
      <c r="E22" s="12" t="e">
        <f>VLOOKUP(D22,Datos!$A$1:$H$256,6,FALSE)</f>
        <v>#N/A</v>
      </c>
      <c r="F22" s="12" t="e">
        <f>VLOOKUP(D22,Datos!$A$1:$H$256,7,FALSE)</f>
        <v>#N/A</v>
      </c>
      <c r="G22" s="12" t="e">
        <f>VLOOKUP(D22,Datos!$A$1:$H$256,8,FALSE)</f>
        <v>#N/A</v>
      </c>
      <c r="H22" s="12" t="s">
        <v>38</v>
      </c>
      <c r="I22" s="12" t="s">
        <v>20</v>
      </c>
      <c r="J22" s="12" t="s">
        <v>42</v>
      </c>
      <c r="K22" s="12" t="s">
        <v>90</v>
      </c>
      <c r="L22" s="12">
        <v>9</v>
      </c>
      <c r="M22" s="13">
        <f t="shared" si="1"/>
        <v>0.36</v>
      </c>
      <c r="N22" s="12">
        <v>3</v>
      </c>
      <c r="O22" s="13">
        <f t="shared" si="2"/>
        <v>0.3</v>
      </c>
      <c r="P22" s="12">
        <v>5</v>
      </c>
      <c r="Q22" s="13">
        <f t="shared" si="3"/>
        <v>0.1</v>
      </c>
      <c r="R22" s="12">
        <v>4</v>
      </c>
      <c r="S22" s="13">
        <f t="shared" si="4"/>
        <v>0.26666666666666666</v>
      </c>
      <c r="T22" s="12">
        <f t="shared" si="5"/>
        <v>21</v>
      </c>
      <c r="U22" s="13">
        <f t="shared" si="6"/>
        <v>0.21</v>
      </c>
      <c r="V22" s="13" t="str">
        <f t="shared" si="0"/>
        <v>INGRESÓ</v>
      </c>
      <c r="W22" s="13" t="s">
        <v>88</v>
      </c>
      <c r="X22" s="14">
        <v>45745</v>
      </c>
      <c r="Y22" s="13" t="s">
        <v>96</v>
      </c>
      <c r="Z22" s="13" t="e">
        <f>VLOOKUP(D22,Datos!$A$1:$C$256,3,FALSE)</f>
        <v>#N/A</v>
      </c>
    </row>
    <row r="23" spans="1:26" hidden="1" x14ac:dyDescent="0.25">
      <c r="A23" s="12">
        <v>22</v>
      </c>
      <c r="B23" s="12" t="e">
        <f>VLOOKUP(D23,Datos!$A$1:$H$256,4,FALSE)</f>
        <v>#N/A</v>
      </c>
      <c r="C23" s="12" t="e">
        <f>VLOOKUP(D23,Datos!$A$1:$H$256,5,FALSE)</f>
        <v>#N/A</v>
      </c>
      <c r="D23" s="12">
        <v>77147620</v>
      </c>
      <c r="E23" s="12" t="e">
        <f>VLOOKUP(D23,Datos!$A$1:$H$256,6,FALSE)</f>
        <v>#N/A</v>
      </c>
      <c r="F23" s="12" t="e">
        <f>VLOOKUP(D23,Datos!$A$1:$H$256,7,FALSE)</f>
        <v>#N/A</v>
      </c>
      <c r="G23" s="12" t="e">
        <f>VLOOKUP(D23,Datos!$A$1:$H$256,8,FALSE)</f>
        <v>#N/A</v>
      </c>
      <c r="H23" s="12" t="s">
        <v>38</v>
      </c>
      <c r="I23" s="12" t="s">
        <v>55</v>
      </c>
      <c r="J23" s="12" t="s">
        <v>42</v>
      </c>
      <c r="K23" s="12" t="s">
        <v>90</v>
      </c>
      <c r="L23" s="12">
        <v>9</v>
      </c>
      <c r="M23" s="13">
        <f t="shared" si="1"/>
        <v>0.36</v>
      </c>
      <c r="N23" s="12">
        <v>9</v>
      </c>
      <c r="O23" s="13">
        <f t="shared" si="2"/>
        <v>0.9</v>
      </c>
      <c r="P23" s="12">
        <v>13</v>
      </c>
      <c r="Q23" s="13">
        <f t="shared" si="3"/>
        <v>0.26</v>
      </c>
      <c r="R23" s="12">
        <v>4</v>
      </c>
      <c r="S23" s="13">
        <f t="shared" si="4"/>
        <v>0.26666666666666666</v>
      </c>
      <c r="T23" s="12">
        <f t="shared" si="5"/>
        <v>35</v>
      </c>
      <c r="U23" s="13">
        <f t="shared" si="6"/>
        <v>0.35</v>
      </c>
      <c r="V23" s="13" t="str">
        <f t="shared" si="0"/>
        <v>INGRESÓ</v>
      </c>
      <c r="W23" s="13" t="s">
        <v>88</v>
      </c>
      <c r="X23" s="14">
        <v>45745</v>
      </c>
      <c r="Y23" s="13" t="s">
        <v>96</v>
      </c>
      <c r="Z23" s="13" t="e">
        <f>VLOOKUP(D23,Datos!$A$1:$C$256,3,FALSE)</f>
        <v>#N/A</v>
      </c>
    </row>
    <row r="24" spans="1:26" hidden="1" x14ac:dyDescent="0.25">
      <c r="A24" s="12">
        <v>23</v>
      </c>
      <c r="B24" s="12" t="e">
        <f>VLOOKUP(D24,Datos!$A$1:$H$256,4,FALSE)</f>
        <v>#N/A</v>
      </c>
      <c r="C24" s="12" t="e">
        <f>VLOOKUP(D24,Datos!$A$1:$H$256,5,FALSE)</f>
        <v>#N/A</v>
      </c>
      <c r="D24" s="12">
        <v>61340585</v>
      </c>
      <c r="E24" s="12" t="e">
        <f>VLOOKUP(D24,Datos!$A$1:$H$256,6,FALSE)</f>
        <v>#N/A</v>
      </c>
      <c r="F24" s="12" t="e">
        <f>VLOOKUP(D24,Datos!$A$1:$H$256,7,FALSE)</f>
        <v>#N/A</v>
      </c>
      <c r="G24" s="12" t="e">
        <f>VLOOKUP(D24,Datos!$A$1:$H$256,8,FALSE)</f>
        <v>#N/A</v>
      </c>
      <c r="H24" s="12" t="s">
        <v>38</v>
      </c>
      <c r="I24" s="12" t="s">
        <v>20</v>
      </c>
      <c r="J24" s="12" t="s">
        <v>42</v>
      </c>
      <c r="K24" s="12" t="s">
        <v>90</v>
      </c>
      <c r="L24" s="12">
        <v>9</v>
      </c>
      <c r="M24" s="13">
        <f t="shared" si="1"/>
        <v>0.36</v>
      </c>
      <c r="N24" s="12">
        <v>9</v>
      </c>
      <c r="O24" s="13">
        <f t="shared" si="2"/>
        <v>0.9</v>
      </c>
      <c r="P24" s="12">
        <v>15</v>
      </c>
      <c r="Q24" s="13">
        <f t="shared" si="3"/>
        <v>0.3</v>
      </c>
      <c r="R24" s="12">
        <v>5</v>
      </c>
      <c r="S24" s="13">
        <f t="shared" si="4"/>
        <v>0.33333333333333331</v>
      </c>
      <c r="T24" s="12">
        <f t="shared" si="5"/>
        <v>38</v>
      </c>
      <c r="U24" s="13">
        <f t="shared" si="6"/>
        <v>0.38</v>
      </c>
      <c r="V24" s="13" t="str">
        <f t="shared" si="0"/>
        <v>INGRESÓ</v>
      </c>
      <c r="W24" s="13" t="s">
        <v>88</v>
      </c>
      <c r="X24" s="14">
        <v>45745</v>
      </c>
      <c r="Y24" s="13" t="s">
        <v>96</v>
      </c>
      <c r="Z24" s="13" t="e">
        <f>VLOOKUP(D24,Datos!$A$1:$C$256,3,FALSE)</f>
        <v>#N/A</v>
      </c>
    </row>
    <row r="25" spans="1:26" hidden="1" x14ac:dyDescent="0.25">
      <c r="A25" s="12">
        <v>24</v>
      </c>
      <c r="B25" s="12" t="e">
        <f>VLOOKUP(D25,Datos!$A$1:$H$256,4,FALSE)</f>
        <v>#N/A</v>
      </c>
      <c r="C25" s="12" t="e">
        <f>VLOOKUP(D25,Datos!$A$1:$H$256,5,FALSE)</f>
        <v>#N/A</v>
      </c>
      <c r="D25" s="12">
        <v>60887126</v>
      </c>
      <c r="E25" s="12" t="e">
        <f>VLOOKUP(D25,Datos!$A$1:$H$256,6,FALSE)</f>
        <v>#N/A</v>
      </c>
      <c r="F25" s="12" t="e">
        <f>VLOOKUP(D25,Datos!$A$1:$H$256,7,FALSE)</f>
        <v>#N/A</v>
      </c>
      <c r="G25" s="12" t="e">
        <f>VLOOKUP(D25,Datos!$A$1:$H$256,8,FALSE)</f>
        <v>#N/A</v>
      </c>
      <c r="H25" s="12" t="s">
        <v>38</v>
      </c>
      <c r="I25" s="12" t="s">
        <v>20</v>
      </c>
      <c r="J25" s="12" t="s">
        <v>42</v>
      </c>
      <c r="K25" s="12" t="s">
        <v>90</v>
      </c>
      <c r="L25" s="12">
        <v>14</v>
      </c>
      <c r="M25" s="13">
        <f t="shared" si="1"/>
        <v>0.56000000000000005</v>
      </c>
      <c r="N25" s="12">
        <v>9</v>
      </c>
      <c r="O25" s="13">
        <f t="shared" si="2"/>
        <v>0.9</v>
      </c>
      <c r="P25" s="12">
        <v>29</v>
      </c>
      <c r="Q25" s="13">
        <f t="shared" si="3"/>
        <v>0.57999999999999996</v>
      </c>
      <c r="R25" s="12">
        <v>3</v>
      </c>
      <c r="S25" s="13">
        <f t="shared" si="4"/>
        <v>0.2</v>
      </c>
      <c r="T25" s="12">
        <f t="shared" si="5"/>
        <v>55</v>
      </c>
      <c r="U25" s="13">
        <f t="shared" si="6"/>
        <v>0.55000000000000004</v>
      </c>
      <c r="V25" s="13" t="str">
        <f t="shared" si="0"/>
        <v>INGRESÓ</v>
      </c>
      <c r="W25" s="13" t="s">
        <v>88</v>
      </c>
      <c r="X25" s="14">
        <v>45745</v>
      </c>
      <c r="Y25" s="13" t="s">
        <v>96</v>
      </c>
      <c r="Z25" s="13" t="e">
        <f>VLOOKUP(D25,Datos!$A$1:$C$256,3,FALSE)</f>
        <v>#N/A</v>
      </c>
    </row>
    <row r="26" spans="1:26" hidden="1" x14ac:dyDescent="0.25">
      <c r="A26" s="12">
        <v>25</v>
      </c>
      <c r="B26" s="12" t="e">
        <f>VLOOKUP(D26,Datos!$A$1:$H$256,4,FALSE)</f>
        <v>#N/A</v>
      </c>
      <c r="C26" s="12" t="e">
        <f>VLOOKUP(D26,Datos!$A$1:$H$256,5,FALSE)</f>
        <v>#N/A</v>
      </c>
      <c r="D26" s="12">
        <v>77809464</v>
      </c>
      <c r="E26" s="12" t="e">
        <f>VLOOKUP(D26,Datos!$A$1:$H$256,6,FALSE)</f>
        <v>#N/A</v>
      </c>
      <c r="F26" s="12" t="e">
        <f>VLOOKUP(D26,Datos!$A$1:$H$256,7,FALSE)</f>
        <v>#N/A</v>
      </c>
      <c r="G26" s="12" t="e">
        <f>VLOOKUP(D26,Datos!$A$1:$H$256,8,FALSE)</f>
        <v>#N/A</v>
      </c>
      <c r="H26" s="12" t="s">
        <v>38</v>
      </c>
      <c r="I26" s="12" t="s">
        <v>97</v>
      </c>
      <c r="J26" s="12" t="s">
        <v>42</v>
      </c>
      <c r="K26" s="12" t="s">
        <v>90</v>
      </c>
      <c r="L26" s="12">
        <v>17</v>
      </c>
      <c r="M26" s="13">
        <f t="shared" si="1"/>
        <v>0.68</v>
      </c>
      <c r="N26" s="12">
        <v>10</v>
      </c>
      <c r="O26" s="13">
        <f t="shared" si="2"/>
        <v>1</v>
      </c>
      <c r="P26" s="12">
        <v>15</v>
      </c>
      <c r="Q26" s="13">
        <f t="shared" si="3"/>
        <v>0.3</v>
      </c>
      <c r="R26" s="12">
        <v>9</v>
      </c>
      <c r="S26" s="13">
        <f t="shared" si="4"/>
        <v>0.6</v>
      </c>
      <c r="T26" s="12">
        <f t="shared" si="5"/>
        <v>51</v>
      </c>
      <c r="U26" s="13">
        <f t="shared" si="6"/>
        <v>0.51</v>
      </c>
      <c r="V26" s="13" t="str">
        <f t="shared" si="0"/>
        <v>INGRESÓ</v>
      </c>
      <c r="W26" s="13" t="s">
        <v>88</v>
      </c>
      <c r="X26" s="14">
        <v>45745</v>
      </c>
      <c r="Y26" s="13" t="s">
        <v>96</v>
      </c>
      <c r="Z26" s="13" t="e">
        <f>VLOOKUP(D26,Datos!$A$1:$C$256,3,FALSE)</f>
        <v>#N/A</v>
      </c>
    </row>
    <row r="27" spans="1:26" hidden="1" x14ac:dyDescent="0.25">
      <c r="A27" s="12">
        <v>26</v>
      </c>
      <c r="B27" s="12" t="e">
        <f>VLOOKUP(D27,Datos!$A$1:$H$256,4,FALSE)</f>
        <v>#N/A</v>
      </c>
      <c r="C27" s="12" t="e">
        <f>VLOOKUP(D27,Datos!$A$1:$H$256,5,FALSE)</f>
        <v>#N/A</v>
      </c>
      <c r="D27" s="12">
        <v>73190353</v>
      </c>
      <c r="E27" s="12" t="e">
        <f>VLOOKUP(D27,Datos!$A$1:$H$256,6,FALSE)</f>
        <v>#N/A</v>
      </c>
      <c r="F27" s="12" t="e">
        <f>VLOOKUP(D27,Datos!$A$1:$H$256,7,FALSE)</f>
        <v>#N/A</v>
      </c>
      <c r="G27" s="12" t="e">
        <f>VLOOKUP(D27,Datos!$A$1:$H$256,8,FALSE)</f>
        <v>#N/A</v>
      </c>
      <c r="H27" s="12" t="s">
        <v>38</v>
      </c>
      <c r="I27" s="12" t="s">
        <v>97</v>
      </c>
      <c r="J27" s="12" t="s">
        <v>42</v>
      </c>
      <c r="K27" s="12" t="s">
        <v>90</v>
      </c>
      <c r="L27" s="12">
        <v>14</v>
      </c>
      <c r="M27" s="13">
        <f t="shared" si="1"/>
        <v>0.56000000000000005</v>
      </c>
      <c r="N27" s="12">
        <v>10</v>
      </c>
      <c r="O27" s="13">
        <f t="shared" si="2"/>
        <v>1</v>
      </c>
      <c r="P27" s="12">
        <v>17</v>
      </c>
      <c r="Q27" s="13">
        <f t="shared" si="3"/>
        <v>0.34</v>
      </c>
      <c r="R27" s="12">
        <v>4</v>
      </c>
      <c r="S27" s="13">
        <f t="shared" si="4"/>
        <v>0.26666666666666666</v>
      </c>
      <c r="T27" s="12">
        <f t="shared" si="5"/>
        <v>45</v>
      </c>
      <c r="U27" s="13">
        <f t="shared" si="6"/>
        <v>0.45</v>
      </c>
      <c r="V27" s="13" t="str">
        <f t="shared" si="0"/>
        <v>INGRESÓ</v>
      </c>
      <c r="W27" s="13" t="s">
        <v>88</v>
      </c>
      <c r="X27" s="14">
        <v>45745</v>
      </c>
      <c r="Y27" s="13" t="s">
        <v>96</v>
      </c>
      <c r="Z27" s="13" t="e">
        <f>VLOOKUP(D27,Datos!$A$1:$C$256,3,FALSE)</f>
        <v>#N/A</v>
      </c>
    </row>
    <row r="28" spans="1:26" hidden="1" x14ac:dyDescent="0.25">
      <c r="A28" s="12">
        <v>27</v>
      </c>
      <c r="B28" s="12" t="e">
        <f>VLOOKUP(D28,Datos!$A$1:$H$256,4,FALSE)</f>
        <v>#N/A</v>
      </c>
      <c r="C28" s="12" t="e">
        <f>VLOOKUP(D28,Datos!$A$1:$H$256,5,FALSE)</f>
        <v>#N/A</v>
      </c>
      <c r="D28" s="12">
        <v>71986818</v>
      </c>
      <c r="E28" s="12" t="e">
        <f>VLOOKUP(D28,Datos!$A$1:$H$256,6,FALSE)</f>
        <v>#N/A</v>
      </c>
      <c r="F28" s="12" t="e">
        <f>VLOOKUP(D28,Datos!$A$1:$H$256,7,FALSE)</f>
        <v>#N/A</v>
      </c>
      <c r="G28" s="12" t="e">
        <f>VLOOKUP(D28,Datos!$A$1:$H$256,8,FALSE)</f>
        <v>#N/A</v>
      </c>
      <c r="H28" s="12" t="s">
        <v>38</v>
      </c>
      <c r="I28" s="12" t="s">
        <v>20</v>
      </c>
      <c r="J28" s="12" t="s">
        <v>42</v>
      </c>
      <c r="K28" s="12" t="s">
        <v>90</v>
      </c>
      <c r="L28" s="12">
        <v>10</v>
      </c>
      <c r="M28" s="13">
        <f t="shared" si="1"/>
        <v>0.4</v>
      </c>
      <c r="N28" s="12">
        <v>7</v>
      </c>
      <c r="O28" s="13">
        <f t="shared" si="2"/>
        <v>0.7</v>
      </c>
      <c r="P28" s="12">
        <v>17</v>
      </c>
      <c r="Q28" s="13">
        <f t="shared" si="3"/>
        <v>0.34</v>
      </c>
      <c r="R28" s="12">
        <v>7</v>
      </c>
      <c r="S28" s="13">
        <f t="shared" si="4"/>
        <v>0.46666666666666667</v>
      </c>
      <c r="T28" s="12">
        <f t="shared" si="5"/>
        <v>41</v>
      </c>
      <c r="U28" s="13">
        <f t="shared" si="6"/>
        <v>0.41</v>
      </c>
      <c r="V28" s="13" t="str">
        <f t="shared" si="0"/>
        <v>INGRESÓ</v>
      </c>
      <c r="W28" s="13" t="s">
        <v>88</v>
      </c>
      <c r="X28" s="14">
        <v>45745</v>
      </c>
      <c r="Y28" s="13" t="s">
        <v>96</v>
      </c>
      <c r="Z28" s="13" t="e">
        <f>VLOOKUP(D28,Datos!$A$1:$C$256,3,FALSE)</f>
        <v>#N/A</v>
      </c>
    </row>
    <row r="29" spans="1:26" hidden="1" x14ac:dyDescent="0.25">
      <c r="A29" s="12">
        <v>28</v>
      </c>
      <c r="B29" s="12" t="e">
        <f>VLOOKUP(D29,Datos!$A$1:$H$256,4,FALSE)</f>
        <v>#N/A</v>
      </c>
      <c r="C29" s="12" t="e">
        <f>VLOOKUP(D29,Datos!$A$1:$H$256,5,FALSE)</f>
        <v>#N/A</v>
      </c>
      <c r="D29" s="12">
        <v>61341752</v>
      </c>
      <c r="E29" s="12" t="e">
        <f>VLOOKUP(D29,Datos!$A$1:$H$256,6,FALSE)</f>
        <v>#N/A</v>
      </c>
      <c r="F29" s="12" t="e">
        <f>VLOOKUP(D29,Datos!$A$1:$H$256,7,FALSE)</f>
        <v>#N/A</v>
      </c>
      <c r="G29" s="12" t="e">
        <f>VLOOKUP(D29,Datos!$A$1:$H$256,8,FALSE)</f>
        <v>#N/A</v>
      </c>
      <c r="H29" s="12" t="s">
        <v>38</v>
      </c>
      <c r="I29" s="12" t="s">
        <v>55</v>
      </c>
      <c r="J29" s="12" t="s">
        <v>42</v>
      </c>
      <c r="K29" s="12" t="s">
        <v>90</v>
      </c>
      <c r="L29" s="12">
        <v>13</v>
      </c>
      <c r="M29" s="13">
        <f t="shared" si="1"/>
        <v>0.52</v>
      </c>
      <c r="N29" s="12">
        <v>3</v>
      </c>
      <c r="O29" s="13">
        <f t="shared" si="2"/>
        <v>0.3</v>
      </c>
      <c r="P29" s="12">
        <v>8</v>
      </c>
      <c r="Q29" s="13">
        <f t="shared" si="3"/>
        <v>0.16</v>
      </c>
      <c r="R29" s="12">
        <v>3</v>
      </c>
      <c r="S29" s="13">
        <f t="shared" si="4"/>
        <v>0.2</v>
      </c>
      <c r="T29" s="12">
        <f t="shared" si="5"/>
        <v>27</v>
      </c>
      <c r="U29" s="13">
        <f t="shared" si="6"/>
        <v>0.27</v>
      </c>
      <c r="V29" s="13" t="str">
        <f t="shared" si="0"/>
        <v>INGRESÓ</v>
      </c>
      <c r="W29" s="13" t="s">
        <v>88</v>
      </c>
      <c r="X29" s="14">
        <v>45745</v>
      </c>
      <c r="Y29" s="13" t="s">
        <v>96</v>
      </c>
      <c r="Z29" s="13" t="e">
        <f>VLOOKUP(D29,Datos!$A$1:$C$256,3,FALSE)</f>
        <v>#N/A</v>
      </c>
    </row>
    <row r="30" spans="1:26" hidden="1" x14ac:dyDescent="0.25">
      <c r="A30" s="12">
        <v>29</v>
      </c>
      <c r="B30" s="12" t="e">
        <f>VLOOKUP(D30,Datos!$A$1:$H$256,4,FALSE)</f>
        <v>#N/A</v>
      </c>
      <c r="C30" s="12" t="e">
        <f>VLOOKUP(D30,Datos!$A$1:$H$256,5,FALSE)</f>
        <v>#N/A</v>
      </c>
      <c r="D30" s="12">
        <v>75890586</v>
      </c>
      <c r="E30" s="12" t="e">
        <f>VLOOKUP(D30,Datos!$A$1:$H$256,6,FALSE)</f>
        <v>#N/A</v>
      </c>
      <c r="F30" s="12" t="e">
        <f>VLOOKUP(D30,Datos!$A$1:$H$256,7,FALSE)</f>
        <v>#N/A</v>
      </c>
      <c r="G30" s="12" t="e">
        <f>VLOOKUP(D30,Datos!$A$1:$H$256,8,FALSE)</f>
        <v>#N/A</v>
      </c>
      <c r="H30" s="12" t="s">
        <v>38</v>
      </c>
      <c r="I30" s="12" t="s">
        <v>97</v>
      </c>
      <c r="J30" s="12" t="s">
        <v>42</v>
      </c>
      <c r="K30" s="12" t="s">
        <v>90</v>
      </c>
      <c r="L30" s="12">
        <v>4</v>
      </c>
      <c r="M30" s="13">
        <f t="shared" si="1"/>
        <v>0.16</v>
      </c>
      <c r="N30" s="12">
        <v>6</v>
      </c>
      <c r="O30" s="13">
        <f t="shared" si="2"/>
        <v>0.6</v>
      </c>
      <c r="P30" s="12">
        <v>16</v>
      </c>
      <c r="Q30" s="13">
        <f t="shared" si="3"/>
        <v>0.32</v>
      </c>
      <c r="R30" s="12">
        <v>1</v>
      </c>
      <c r="S30" s="13">
        <f t="shared" si="4"/>
        <v>6.6666666666666666E-2</v>
      </c>
      <c r="T30" s="12">
        <f t="shared" si="5"/>
        <v>27</v>
      </c>
      <c r="U30" s="13">
        <f t="shared" si="6"/>
        <v>0.27</v>
      </c>
      <c r="V30" s="13" t="str">
        <f t="shared" si="0"/>
        <v>INGRESÓ</v>
      </c>
      <c r="W30" s="13" t="s">
        <v>88</v>
      </c>
      <c r="X30" s="14">
        <v>45745</v>
      </c>
      <c r="Y30" s="13" t="s">
        <v>96</v>
      </c>
      <c r="Z30" s="13" t="e">
        <f>VLOOKUP(D30,Datos!$A$1:$C$256,3,FALSE)</f>
        <v>#N/A</v>
      </c>
    </row>
    <row r="31" spans="1:26" hidden="1" x14ac:dyDescent="0.25">
      <c r="A31" s="12">
        <v>30</v>
      </c>
      <c r="B31" s="12" t="e">
        <f>VLOOKUP(D31,Datos!$A$1:$H$256,4,FALSE)</f>
        <v>#N/A</v>
      </c>
      <c r="C31" s="12" t="e">
        <f>VLOOKUP(D31,Datos!$A$1:$H$256,5,FALSE)</f>
        <v>#N/A</v>
      </c>
      <c r="D31" s="12">
        <v>72770605</v>
      </c>
      <c r="E31" s="12" t="e">
        <f>VLOOKUP(D31,Datos!$A$1:$H$256,6,FALSE)</f>
        <v>#N/A</v>
      </c>
      <c r="F31" s="12" t="e">
        <f>VLOOKUP(D31,Datos!$A$1:$H$256,7,FALSE)</f>
        <v>#N/A</v>
      </c>
      <c r="G31" s="12" t="e">
        <f>VLOOKUP(D31,Datos!$A$1:$H$256,8,FALSE)</f>
        <v>#N/A</v>
      </c>
      <c r="H31" s="12" t="s">
        <v>38</v>
      </c>
      <c r="I31" s="12" t="s">
        <v>97</v>
      </c>
      <c r="J31" s="12" t="s">
        <v>42</v>
      </c>
      <c r="K31" s="12" t="s">
        <v>90</v>
      </c>
      <c r="L31" s="12">
        <v>14</v>
      </c>
      <c r="M31" s="13">
        <f t="shared" si="1"/>
        <v>0.56000000000000005</v>
      </c>
      <c r="N31" s="12">
        <v>6</v>
      </c>
      <c r="O31" s="13">
        <f t="shared" si="2"/>
        <v>0.6</v>
      </c>
      <c r="P31" s="12">
        <v>19</v>
      </c>
      <c r="Q31" s="13">
        <f t="shared" si="3"/>
        <v>0.38</v>
      </c>
      <c r="R31" s="12">
        <v>6</v>
      </c>
      <c r="S31" s="13">
        <f t="shared" si="4"/>
        <v>0.4</v>
      </c>
      <c r="T31" s="12">
        <f t="shared" si="5"/>
        <v>45</v>
      </c>
      <c r="U31" s="13">
        <f t="shared" si="6"/>
        <v>0.45</v>
      </c>
      <c r="V31" s="13" t="str">
        <f t="shared" si="0"/>
        <v>INGRESÓ</v>
      </c>
      <c r="W31" s="13" t="s">
        <v>88</v>
      </c>
      <c r="X31" s="14">
        <v>45745</v>
      </c>
      <c r="Y31" s="13" t="s">
        <v>96</v>
      </c>
      <c r="Z31" s="13" t="e">
        <f>VLOOKUP(D31,Datos!$A$1:$C$256,3,FALSE)</f>
        <v>#N/A</v>
      </c>
    </row>
    <row r="32" spans="1:26" hidden="1" x14ac:dyDescent="0.25">
      <c r="A32" s="12">
        <v>31</v>
      </c>
      <c r="B32" s="12" t="e">
        <f>VLOOKUP(D32,Datos!$A$1:$H$256,4,FALSE)</f>
        <v>#N/A</v>
      </c>
      <c r="C32" s="12" t="e">
        <f>VLOOKUP(D32,Datos!$A$1:$H$256,5,FALSE)</f>
        <v>#N/A</v>
      </c>
      <c r="D32" s="12">
        <v>61205793</v>
      </c>
      <c r="E32" s="12" t="e">
        <f>VLOOKUP(D32,Datos!$A$1:$H$256,6,FALSE)</f>
        <v>#N/A</v>
      </c>
      <c r="F32" s="12" t="e">
        <f>VLOOKUP(D32,Datos!$A$1:$H$256,7,FALSE)</f>
        <v>#N/A</v>
      </c>
      <c r="G32" s="12" t="e">
        <f>VLOOKUP(D32,Datos!$A$1:$H$256,8,FALSE)</f>
        <v>#N/A</v>
      </c>
      <c r="H32" s="12" t="s">
        <v>38</v>
      </c>
      <c r="I32" s="12" t="s">
        <v>97</v>
      </c>
      <c r="J32" s="12" t="s">
        <v>42</v>
      </c>
      <c r="K32" s="12" t="s">
        <v>90</v>
      </c>
      <c r="L32" s="12">
        <v>11</v>
      </c>
      <c r="M32" s="13">
        <f t="shared" si="1"/>
        <v>0.44</v>
      </c>
      <c r="N32" s="12">
        <v>8</v>
      </c>
      <c r="O32" s="13">
        <f t="shared" si="2"/>
        <v>0.8</v>
      </c>
      <c r="P32" s="12">
        <v>15</v>
      </c>
      <c r="Q32" s="13">
        <f t="shared" si="3"/>
        <v>0.3</v>
      </c>
      <c r="R32" s="12">
        <v>5</v>
      </c>
      <c r="S32" s="13">
        <f t="shared" si="4"/>
        <v>0.33333333333333331</v>
      </c>
      <c r="T32" s="12">
        <f t="shared" si="5"/>
        <v>39</v>
      </c>
      <c r="U32" s="13">
        <f t="shared" si="6"/>
        <v>0.39</v>
      </c>
      <c r="V32" s="13" t="str">
        <f t="shared" si="0"/>
        <v>INGRESÓ</v>
      </c>
      <c r="W32" s="13" t="s">
        <v>88</v>
      </c>
      <c r="X32" s="14">
        <v>45745</v>
      </c>
      <c r="Y32" s="13" t="s">
        <v>96</v>
      </c>
      <c r="Z32" s="13" t="e">
        <f>VLOOKUP(D32,Datos!$A$1:$C$256,3,FALSE)</f>
        <v>#N/A</v>
      </c>
    </row>
    <row r="33" spans="1:26" hidden="1" x14ac:dyDescent="0.25">
      <c r="A33" s="12">
        <v>32</v>
      </c>
      <c r="B33" s="12" t="e">
        <f>VLOOKUP(D33,Datos!$A$1:$H$256,4,FALSE)</f>
        <v>#N/A</v>
      </c>
      <c r="C33" s="12" t="e">
        <f>VLOOKUP(D33,Datos!$A$1:$H$256,5,FALSE)</f>
        <v>#N/A</v>
      </c>
      <c r="D33" s="12">
        <v>74757752</v>
      </c>
      <c r="E33" s="12" t="e">
        <f>VLOOKUP(D33,Datos!$A$1:$H$256,6,FALSE)</f>
        <v>#N/A</v>
      </c>
      <c r="F33" s="12" t="e">
        <f>VLOOKUP(D33,Datos!$A$1:$H$256,7,FALSE)</f>
        <v>#N/A</v>
      </c>
      <c r="G33" s="12" t="e">
        <f>VLOOKUP(D33,Datos!$A$1:$H$256,8,FALSE)</f>
        <v>#N/A</v>
      </c>
      <c r="H33" s="12" t="s">
        <v>38</v>
      </c>
      <c r="I33" s="12" t="s">
        <v>97</v>
      </c>
      <c r="J33" s="12" t="s">
        <v>42</v>
      </c>
      <c r="K33" s="12" t="s">
        <v>90</v>
      </c>
      <c r="L33" s="12">
        <v>9</v>
      </c>
      <c r="M33" s="13">
        <f t="shared" si="1"/>
        <v>0.36</v>
      </c>
      <c r="N33" s="12">
        <v>5</v>
      </c>
      <c r="O33" s="13">
        <f t="shared" si="2"/>
        <v>0.5</v>
      </c>
      <c r="P33" s="12">
        <v>16</v>
      </c>
      <c r="Q33" s="13">
        <f t="shared" si="3"/>
        <v>0.32</v>
      </c>
      <c r="R33" s="12">
        <v>2</v>
      </c>
      <c r="S33" s="13">
        <f t="shared" si="4"/>
        <v>0.13333333333333333</v>
      </c>
      <c r="T33" s="12">
        <f t="shared" si="5"/>
        <v>32</v>
      </c>
      <c r="U33" s="13">
        <f t="shared" si="6"/>
        <v>0.32</v>
      </c>
      <c r="V33" s="13" t="str">
        <f t="shared" si="0"/>
        <v>INGRESÓ</v>
      </c>
      <c r="W33" s="13" t="s">
        <v>88</v>
      </c>
      <c r="X33" s="14">
        <v>45745</v>
      </c>
      <c r="Y33" s="13" t="s">
        <v>96</v>
      </c>
      <c r="Z33" s="13" t="e">
        <f>VLOOKUP(D33,Datos!$A$1:$C$256,3,FALSE)</f>
        <v>#N/A</v>
      </c>
    </row>
    <row r="34" spans="1:26" hidden="1" x14ac:dyDescent="0.25">
      <c r="A34" s="12">
        <v>33</v>
      </c>
      <c r="B34" s="12" t="e">
        <f>VLOOKUP(D34,Datos!$A$1:$H$256,4,FALSE)</f>
        <v>#N/A</v>
      </c>
      <c r="C34" s="12" t="e">
        <f>VLOOKUP(D34,Datos!$A$1:$H$256,5,FALSE)</f>
        <v>#N/A</v>
      </c>
      <c r="D34" s="12">
        <v>61340716</v>
      </c>
      <c r="E34" s="12" t="e">
        <f>VLOOKUP(D34,Datos!$A$1:$H$256,6,FALSE)</f>
        <v>#N/A</v>
      </c>
      <c r="F34" s="12" t="e">
        <f>VLOOKUP(D34,Datos!$A$1:$H$256,7,FALSE)</f>
        <v>#N/A</v>
      </c>
      <c r="G34" s="12" t="e">
        <f>VLOOKUP(D34,Datos!$A$1:$H$256,8,FALSE)</f>
        <v>#N/A</v>
      </c>
      <c r="H34" s="12" t="s">
        <v>38</v>
      </c>
      <c r="I34" s="12" t="s">
        <v>20</v>
      </c>
      <c r="J34" s="12" t="s">
        <v>42</v>
      </c>
      <c r="K34" s="12" t="s">
        <v>90</v>
      </c>
      <c r="L34" s="12">
        <v>9</v>
      </c>
      <c r="M34" s="13">
        <f t="shared" si="1"/>
        <v>0.36</v>
      </c>
      <c r="N34" s="12">
        <v>5</v>
      </c>
      <c r="O34" s="13">
        <f t="shared" si="2"/>
        <v>0.5</v>
      </c>
      <c r="P34" s="12">
        <v>17</v>
      </c>
      <c r="Q34" s="13">
        <f t="shared" si="3"/>
        <v>0.34</v>
      </c>
      <c r="R34" s="12">
        <v>4</v>
      </c>
      <c r="S34" s="13">
        <f t="shared" si="4"/>
        <v>0.26666666666666666</v>
      </c>
      <c r="T34" s="12">
        <f t="shared" si="5"/>
        <v>35</v>
      </c>
      <c r="U34" s="13">
        <f t="shared" si="6"/>
        <v>0.35</v>
      </c>
      <c r="V34" s="13" t="str">
        <f t="shared" si="0"/>
        <v>INGRESÓ</v>
      </c>
      <c r="W34" s="13" t="s">
        <v>88</v>
      </c>
      <c r="X34" s="14">
        <v>45745</v>
      </c>
      <c r="Y34" s="13" t="s">
        <v>96</v>
      </c>
      <c r="Z34" s="13" t="e">
        <f>VLOOKUP(D34,Datos!$A$1:$C$256,3,FALSE)</f>
        <v>#N/A</v>
      </c>
    </row>
    <row r="35" spans="1:26" hidden="1" x14ac:dyDescent="0.25">
      <c r="A35" s="12">
        <v>34</v>
      </c>
      <c r="B35" s="12" t="e">
        <f>VLOOKUP(D35,Datos!$A$1:$H$256,4,FALSE)</f>
        <v>#N/A</v>
      </c>
      <c r="C35" s="12" t="e">
        <f>VLOOKUP(D35,Datos!$A$1:$H$256,5,FALSE)</f>
        <v>#N/A</v>
      </c>
      <c r="D35" s="12">
        <v>60752570</v>
      </c>
      <c r="E35" s="12" t="e">
        <f>VLOOKUP(D35,Datos!$A$1:$H$256,6,FALSE)</f>
        <v>#N/A</v>
      </c>
      <c r="F35" s="12" t="e">
        <f>VLOOKUP(D35,Datos!$A$1:$H$256,7,FALSE)</f>
        <v>#N/A</v>
      </c>
      <c r="G35" s="12" t="e">
        <f>VLOOKUP(D35,Datos!$A$1:$H$256,8,FALSE)</f>
        <v>#N/A</v>
      </c>
      <c r="H35" s="12" t="s">
        <v>38</v>
      </c>
      <c r="I35" s="12" t="s">
        <v>20</v>
      </c>
      <c r="J35" s="12" t="s">
        <v>42</v>
      </c>
      <c r="K35" s="12" t="s">
        <v>90</v>
      </c>
      <c r="L35" s="12">
        <v>8</v>
      </c>
      <c r="M35" s="13">
        <f t="shared" si="1"/>
        <v>0.32</v>
      </c>
      <c r="N35" s="12">
        <v>10</v>
      </c>
      <c r="O35" s="13">
        <f t="shared" si="2"/>
        <v>1</v>
      </c>
      <c r="P35" s="12">
        <v>15</v>
      </c>
      <c r="Q35" s="13">
        <f t="shared" si="3"/>
        <v>0.3</v>
      </c>
      <c r="R35" s="12">
        <v>4</v>
      </c>
      <c r="S35" s="13">
        <f t="shared" si="4"/>
        <v>0.26666666666666666</v>
      </c>
      <c r="T35" s="12">
        <f t="shared" si="5"/>
        <v>37</v>
      </c>
      <c r="U35" s="13">
        <f t="shared" si="6"/>
        <v>0.37</v>
      </c>
      <c r="V35" s="13" t="str">
        <f t="shared" si="0"/>
        <v>INGRESÓ</v>
      </c>
      <c r="W35" s="13" t="s">
        <v>88</v>
      </c>
      <c r="X35" s="14">
        <v>45745</v>
      </c>
      <c r="Y35" s="13" t="s">
        <v>96</v>
      </c>
      <c r="Z35" s="13" t="e">
        <f>VLOOKUP(D35,Datos!$A$1:$C$256,3,FALSE)</f>
        <v>#N/A</v>
      </c>
    </row>
    <row r="36" spans="1:26" hidden="1" x14ac:dyDescent="0.25">
      <c r="A36" s="12">
        <v>35</v>
      </c>
      <c r="B36" s="12" t="e">
        <f>VLOOKUP(D36,Datos!$A$1:$H$256,4,FALSE)</f>
        <v>#N/A</v>
      </c>
      <c r="C36" s="12" t="e">
        <f>VLOOKUP(D36,Datos!$A$1:$H$256,5,FALSE)</f>
        <v>#N/A</v>
      </c>
      <c r="D36" s="12">
        <v>61134565</v>
      </c>
      <c r="E36" s="12" t="e">
        <f>VLOOKUP(D36,Datos!$A$1:$H$256,6,FALSE)</f>
        <v>#N/A</v>
      </c>
      <c r="F36" s="12" t="e">
        <f>VLOOKUP(D36,Datos!$A$1:$H$256,7,FALSE)</f>
        <v>#N/A</v>
      </c>
      <c r="G36" s="12" t="e">
        <f>VLOOKUP(D36,Datos!$A$1:$H$256,8,FALSE)</f>
        <v>#N/A</v>
      </c>
      <c r="H36" s="12" t="s">
        <v>38</v>
      </c>
      <c r="I36" s="12" t="s">
        <v>20</v>
      </c>
      <c r="J36" s="12" t="s">
        <v>42</v>
      </c>
      <c r="K36" s="12" t="s">
        <v>90</v>
      </c>
      <c r="L36" s="12">
        <v>5</v>
      </c>
      <c r="M36" s="13">
        <f t="shared" si="1"/>
        <v>0.2</v>
      </c>
      <c r="N36" s="12">
        <v>8</v>
      </c>
      <c r="O36" s="13">
        <f t="shared" si="2"/>
        <v>0.8</v>
      </c>
      <c r="P36" s="12">
        <v>18</v>
      </c>
      <c r="Q36" s="13">
        <f t="shared" si="3"/>
        <v>0.36</v>
      </c>
      <c r="R36" s="12">
        <v>3</v>
      </c>
      <c r="S36" s="13">
        <f t="shared" si="4"/>
        <v>0.2</v>
      </c>
      <c r="T36" s="12">
        <f t="shared" si="5"/>
        <v>34</v>
      </c>
      <c r="U36" s="13">
        <f t="shared" si="6"/>
        <v>0.34</v>
      </c>
      <c r="V36" s="13" t="str">
        <f t="shared" si="0"/>
        <v>INGRESÓ</v>
      </c>
      <c r="W36" s="13" t="s">
        <v>88</v>
      </c>
      <c r="X36" s="14">
        <v>45745</v>
      </c>
      <c r="Y36" s="13" t="s">
        <v>96</v>
      </c>
      <c r="Z36" s="13" t="e">
        <f>VLOOKUP(D36,Datos!$A$1:$C$256,3,FALSE)</f>
        <v>#N/A</v>
      </c>
    </row>
    <row r="37" spans="1:26" hidden="1" x14ac:dyDescent="0.25">
      <c r="A37" s="12">
        <v>36</v>
      </c>
      <c r="B37" s="12" t="e">
        <f>VLOOKUP(D37,Datos!$A$1:$H$256,4,FALSE)</f>
        <v>#N/A</v>
      </c>
      <c r="C37" s="12" t="e">
        <f>VLOOKUP(D37,Datos!$A$1:$H$256,5,FALSE)</f>
        <v>#N/A</v>
      </c>
      <c r="D37" s="12">
        <v>61432022</v>
      </c>
      <c r="E37" s="12" t="e">
        <f>VLOOKUP(D37,Datos!$A$1:$H$256,6,FALSE)</f>
        <v>#N/A</v>
      </c>
      <c r="F37" s="12" t="e">
        <f>VLOOKUP(D37,Datos!$A$1:$H$256,7,FALSE)</f>
        <v>#N/A</v>
      </c>
      <c r="G37" s="12" t="e">
        <f>VLOOKUP(D37,Datos!$A$1:$H$256,8,FALSE)</f>
        <v>#N/A</v>
      </c>
      <c r="H37" s="12" t="s">
        <v>38</v>
      </c>
      <c r="I37" s="12" t="s">
        <v>20</v>
      </c>
      <c r="J37" s="12" t="s">
        <v>42</v>
      </c>
      <c r="K37" s="12" t="s">
        <v>90</v>
      </c>
      <c r="L37" s="12">
        <v>8</v>
      </c>
      <c r="M37" s="13">
        <f t="shared" si="1"/>
        <v>0.32</v>
      </c>
      <c r="N37" s="12">
        <v>4</v>
      </c>
      <c r="O37" s="13">
        <f t="shared" si="2"/>
        <v>0.4</v>
      </c>
      <c r="P37" s="12">
        <v>14</v>
      </c>
      <c r="Q37" s="13">
        <f t="shared" si="3"/>
        <v>0.28000000000000003</v>
      </c>
      <c r="R37" s="12">
        <v>3</v>
      </c>
      <c r="S37" s="13">
        <f t="shared" si="4"/>
        <v>0.2</v>
      </c>
      <c r="T37" s="12">
        <f t="shared" si="5"/>
        <v>29</v>
      </c>
      <c r="U37" s="13">
        <f t="shared" si="6"/>
        <v>0.28999999999999998</v>
      </c>
      <c r="V37" s="13" t="str">
        <f t="shared" si="0"/>
        <v>INGRESÓ</v>
      </c>
      <c r="W37" s="13" t="s">
        <v>88</v>
      </c>
      <c r="X37" s="14">
        <v>45745</v>
      </c>
      <c r="Y37" s="13" t="s">
        <v>96</v>
      </c>
      <c r="Z37" s="13" t="e">
        <f>VLOOKUP(D37,Datos!$A$1:$C$256,3,FALSE)</f>
        <v>#N/A</v>
      </c>
    </row>
    <row r="38" spans="1:26" hidden="1" x14ac:dyDescent="0.25">
      <c r="A38" s="12">
        <v>37</v>
      </c>
      <c r="B38" s="12" t="e">
        <f>VLOOKUP(D38,Datos!$A$1:$H$256,4,FALSE)</f>
        <v>#N/A</v>
      </c>
      <c r="C38" s="12" t="e">
        <f>VLOOKUP(D38,Datos!$A$1:$H$256,5,FALSE)</f>
        <v>#N/A</v>
      </c>
      <c r="D38" s="12">
        <v>72675039</v>
      </c>
      <c r="E38" s="12" t="e">
        <f>VLOOKUP(D38,Datos!$A$1:$H$256,6,FALSE)</f>
        <v>#N/A</v>
      </c>
      <c r="F38" s="12" t="e">
        <f>VLOOKUP(D38,Datos!$A$1:$H$256,7,FALSE)</f>
        <v>#N/A</v>
      </c>
      <c r="G38" s="12" t="e">
        <f>VLOOKUP(D38,Datos!$A$1:$H$256,8,FALSE)</f>
        <v>#N/A</v>
      </c>
      <c r="H38" s="12" t="s">
        <v>38</v>
      </c>
      <c r="I38" s="12" t="s">
        <v>20</v>
      </c>
      <c r="J38" s="12" t="s">
        <v>42</v>
      </c>
      <c r="K38" s="12" t="s">
        <v>90</v>
      </c>
      <c r="L38" s="12">
        <v>9</v>
      </c>
      <c r="M38" s="13">
        <f t="shared" si="1"/>
        <v>0.36</v>
      </c>
      <c r="N38" s="12">
        <v>9</v>
      </c>
      <c r="O38" s="13">
        <f t="shared" si="2"/>
        <v>0.9</v>
      </c>
      <c r="P38" s="12">
        <v>26</v>
      </c>
      <c r="Q38" s="13">
        <f t="shared" si="3"/>
        <v>0.52</v>
      </c>
      <c r="R38" s="12">
        <v>3</v>
      </c>
      <c r="S38" s="13">
        <f t="shared" si="4"/>
        <v>0.2</v>
      </c>
      <c r="T38" s="12">
        <f t="shared" si="5"/>
        <v>47</v>
      </c>
      <c r="U38" s="13">
        <f t="shared" si="6"/>
        <v>0.47</v>
      </c>
      <c r="V38" s="13" t="str">
        <f t="shared" si="0"/>
        <v>INGRESÓ</v>
      </c>
      <c r="W38" s="13" t="s">
        <v>88</v>
      </c>
      <c r="X38" s="14">
        <v>45745</v>
      </c>
      <c r="Y38" s="13" t="s">
        <v>96</v>
      </c>
      <c r="Z38" s="13" t="e">
        <f>VLOOKUP(D38,Datos!$A$1:$C$256,3,FALSE)</f>
        <v>#N/A</v>
      </c>
    </row>
    <row r="39" spans="1:26" hidden="1" x14ac:dyDescent="0.25">
      <c r="A39" s="12">
        <v>38</v>
      </c>
      <c r="B39" s="12" t="e">
        <f>VLOOKUP(D39,Datos!$A$1:$H$256,4,FALSE)</f>
        <v>#N/A</v>
      </c>
      <c r="C39" s="12" t="e">
        <f>VLOOKUP(D39,Datos!$A$1:$H$256,5,FALSE)</f>
        <v>#N/A</v>
      </c>
      <c r="D39" s="12">
        <v>70170977</v>
      </c>
      <c r="E39" s="12" t="e">
        <f>VLOOKUP(D39,Datos!$A$1:$H$256,6,FALSE)</f>
        <v>#N/A</v>
      </c>
      <c r="F39" s="12" t="e">
        <f>VLOOKUP(D39,Datos!$A$1:$H$256,7,FALSE)</f>
        <v>#N/A</v>
      </c>
      <c r="G39" s="12" t="e">
        <f>VLOOKUP(D39,Datos!$A$1:$H$256,8,FALSE)</f>
        <v>#N/A</v>
      </c>
      <c r="H39" s="12" t="s">
        <v>38</v>
      </c>
      <c r="I39" s="12" t="s">
        <v>55</v>
      </c>
      <c r="J39" s="12" t="s">
        <v>42</v>
      </c>
      <c r="K39" s="12" t="s">
        <v>90</v>
      </c>
      <c r="L39" s="12">
        <v>6</v>
      </c>
      <c r="M39" s="13">
        <f t="shared" si="1"/>
        <v>0.24</v>
      </c>
      <c r="N39" s="12">
        <v>8</v>
      </c>
      <c r="O39" s="13">
        <f t="shared" si="2"/>
        <v>0.8</v>
      </c>
      <c r="P39" s="12">
        <v>13</v>
      </c>
      <c r="Q39" s="13">
        <f t="shared" si="3"/>
        <v>0.26</v>
      </c>
      <c r="R39" s="12">
        <v>3</v>
      </c>
      <c r="S39" s="13">
        <f t="shared" si="4"/>
        <v>0.2</v>
      </c>
      <c r="T39" s="12">
        <f t="shared" si="5"/>
        <v>30</v>
      </c>
      <c r="U39" s="13">
        <f t="shared" si="6"/>
        <v>0.3</v>
      </c>
      <c r="V39" s="13" t="str">
        <f t="shared" si="0"/>
        <v>INGRESÓ</v>
      </c>
      <c r="W39" s="13" t="s">
        <v>88</v>
      </c>
      <c r="X39" s="14">
        <v>45745</v>
      </c>
      <c r="Y39" s="13" t="s">
        <v>96</v>
      </c>
      <c r="Z39" s="13" t="e">
        <f>VLOOKUP(D39,Datos!$A$1:$C$256,3,FALSE)</f>
        <v>#N/A</v>
      </c>
    </row>
    <row r="40" spans="1:26" hidden="1" x14ac:dyDescent="0.25">
      <c r="A40" s="12">
        <v>39</v>
      </c>
      <c r="B40" s="12" t="e">
        <f>VLOOKUP(D40,Datos!$A$1:$H$256,4,FALSE)</f>
        <v>#N/A</v>
      </c>
      <c r="C40" s="12" t="e">
        <f>VLOOKUP(D40,Datos!$A$1:$H$256,5,FALSE)</f>
        <v>#N/A</v>
      </c>
      <c r="D40" s="12">
        <v>60671083</v>
      </c>
      <c r="E40" s="12" t="e">
        <f>VLOOKUP(D40,Datos!$A$1:$H$256,6,FALSE)</f>
        <v>#N/A</v>
      </c>
      <c r="F40" s="12" t="e">
        <f>VLOOKUP(D40,Datos!$A$1:$H$256,7,FALSE)</f>
        <v>#N/A</v>
      </c>
      <c r="G40" s="12" t="e">
        <f>VLOOKUP(D40,Datos!$A$1:$H$256,8,FALSE)</f>
        <v>#N/A</v>
      </c>
      <c r="H40" s="12" t="s">
        <v>38</v>
      </c>
      <c r="I40" s="12" t="s">
        <v>55</v>
      </c>
      <c r="J40" s="12" t="s">
        <v>42</v>
      </c>
      <c r="K40" s="12" t="s">
        <v>90</v>
      </c>
      <c r="L40" s="12">
        <v>5</v>
      </c>
      <c r="M40" s="13">
        <f t="shared" si="1"/>
        <v>0.2</v>
      </c>
      <c r="N40" s="12">
        <v>9</v>
      </c>
      <c r="O40" s="13">
        <f t="shared" si="2"/>
        <v>0.9</v>
      </c>
      <c r="P40" s="12">
        <v>21</v>
      </c>
      <c r="Q40" s="13">
        <f t="shared" si="3"/>
        <v>0.42</v>
      </c>
      <c r="R40" s="12">
        <v>4</v>
      </c>
      <c r="S40" s="13">
        <f t="shared" si="4"/>
        <v>0.26666666666666666</v>
      </c>
      <c r="T40" s="12">
        <f t="shared" si="5"/>
        <v>39</v>
      </c>
      <c r="U40" s="13">
        <f t="shared" si="6"/>
        <v>0.39</v>
      </c>
      <c r="V40" s="13" t="str">
        <f t="shared" si="0"/>
        <v>INGRESÓ</v>
      </c>
      <c r="W40" s="13" t="s">
        <v>88</v>
      </c>
      <c r="X40" s="14">
        <v>45745</v>
      </c>
      <c r="Y40" s="13" t="s">
        <v>96</v>
      </c>
      <c r="Z40" s="13" t="e">
        <f>VLOOKUP(D40,Datos!$A$1:$C$256,3,FALSE)</f>
        <v>#N/A</v>
      </c>
    </row>
    <row r="41" spans="1:26" hidden="1" x14ac:dyDescent="0.25">
      <c r="A41" s="12">
        <v>40</v>
      </c>
      <c r="B41" s="12" t="e">
        <f>VLOOKUP(D41,Datos!$A$1:$H$256,4,FALSE)</f>
        <v>#N/A</v>
      </c>
      <c r="C41" s="12" t="e">
        <f>VLOOKUP(D41,Datos!$A$1:$H$256,5,FALSE)</f>
        <v>#N/A</v>
      </c>
      <c r="D41" s="12">
        <v>61298143</v>
      </c>
      <c r="E41" s="12" t="e">
        <f>VLOOKUP(D41,Datos!$A$1:$H$256,6,FALSE)</f>
        <v>#N/A</v>
      </c>
      <c r="F41" s="12" t="e">
        <f>VLOOKUP(D41,Datos!$A$1:$H$256,7,FALSE)</f>
        <v>#N/A</v>
      </c>
      <c r="G41" s="12" t="e">
        <f>VLOOKUP(D41,Datos!$A$1:$H$256,8,FALSE)</f>
        <v>#N/A</v>
      </c>
      <c r="H41" s="12" t="s">
        <v>38</v>
      </c>
      <c r="I41" s="12" t="s">
        <v>98</v>
      </c>
      <c r="J41" s="12" t="s">
        <v>42</v>
      </c>
      <c r="K41" s="12" t="s">
        <v>90</v>
      </c>
      <c r="L41" s="12">
        <v>7</v>
      </c>
      <c r="M41" s="13">
        <f t="shared" si="1"/>
        <v>0.28000000000000003</v>
      </c>
      <c r="N41" s="12">
        <v>1</v>
      </c>
      <c r="O41" s="13">
        <f t="shared" si="2"/>
        <v>0.1</v>
      </c>
      <c r="P41" s="12">
        <v>6</v>
      </c>
      <c r="Q41" s="13">
        <f t="shared" si="3"/>
        <v>0.12</v>
      </c>
      <c r="R41" s="12">
        <v>3</v>
      </c>
      <c r="S41" s="13">
        <f t="shared" si="4"/>
        <v>0.2</v>
      </c>
      <c r="T41" s="12">
        <f t="shared" si="5"/>
        <v>17</v>
      </c>
      <c r="U41" s="13">
        <f t="shared" si="6"/>
        <v>0.17</v>
      </c>
      <c r="V41" s="13" t="str">
        <f t="shared" si="0"/>
        <v>INGRESÓ</v>
      </c>
      <c r="W41" s="13" t="s">
        <v>88</v>
      </c>
      <c r="X41" s="14">
        <v>45745</v>
      </c>
      <c r="Y41" s="13" t="s">
        <v>96</v>
      </c>
      <c r="Z41" s="13" t="e">
        <f>VLOOKUP(D41,Datos!$A$1:$C$256,3,FALSE)</f>
        <v>#N/A</v>
      </c>
    </row>
    <row r="42" spans="1:26" hidden="1" x14ac:dyDescent="0.25">
      <c r="A42" s="12">
        <v>41</v>
      </c>
      <c r="B42" s="12" t="e">
        <f>VLOOKUP(D42,Datos!$A$1:$H$256,4,FALSE)</f>
        <v>#N/A</v>
      </c>
      <c r="C42" s="12" t="e">
        <f>VLOOKUP(D42,Datos!$A$1:$H$256,5,FALSE)</f>
        <v>#N/A</v>
      </c>
      <c r="D42" s="12">
        <v>71594314</v>
      </c>
      <c r="E42" s="12" t="e">
        <f>VLOOKUP(D42,Datos!$A$1:$H$256,6,FALSE)</f>
        <v>#N/A</v>
      </c>
      <c r="F42" s="12" t="e">
        <f>VLOOKUP(D42,Datos!$A$1:$H$256,7,FALSE)</f>
        <v>#N/A</v>
      </c>
      <c r="G42" s="12" t="e">
        <f>VLOOKUP(D42,Datos!$A$1:$H$256,8,FALSE)</f>
        <v>#N/A</v>
      </c>
      <c r="H42" s="12" t="s">
        <v>38</v>
      </c>
      <c r="I42" s="12" t="s">
        <v>20</v>
      </c>
      <c r="J42" s="12" t="s">
        <v>42</v>
      </c>
      <c r="K42" s="12" t="s">
        <v>90</v>
      </c>
      <c r="L42" s="12">
        <v>12</v>
      </c>
      <c r="M42" s="13">
        <f t="shared" si="1"/>
        <v>0.48</v>
      </c>
      <c r="N42" s="12">
        <v>10</v>
      </c>
      <c r="O42" s="13">
        <f t="shared" si="2"/>
        <v>1</v>
      </c>
      <c r="P42" s="12">
        <v>18</v>
      </c>
      <c r="Q42" s="13">
        <f t="shared" si="3"/>
        <v>0.36</v>
      </c>
      <c r="R42" s="12">
        <v>4</v>
      </c>
      <c r="S42" s="13">
        <f t="shared" si="4"/>
        <v>0.26666666666666666</v>
      </c>
      <c r="T42" s="12">
        <f t="shared" si="5"/>
        <v>44</v>
      </c>
      <c r="U42" s="13">
        <f t="shared" si="6"/>
        <v>0.44</v>
      </c>
      <c r="V42" s="13" t="str">
        <f t="shared" si="0"/>
        <v>INGRESÓ</v>
      </c>
      <c r="W42" s="13" t="s">
        <v>88</v>
      </c>
      <c r="X42" s="14">
        <v>45745</v>
      </c>
      <c r="Y42" s="13" t="s">
        <v>96</v>
      </c>
      <c r="Z42" s="13" t="e">
        <f>VLOOKUP(D42,Datos!$A$1:$C$256,3,FALSE)</f>
        <v>#N/A</v>
      </c>
    </row>
    <row r="43" spans="1:26" hidden="1" x14ac:dyDescent="0.25">
      <c r="A43" s="12">
        <v>42</v>
      </c>
      <c r="B43" s="12" t="e">
        <f>VLOOKUP(D43,Datos!$A$1:$H$256,4,FALSE)</f>
        <v>#N/A</v>
      </c>
      <c r="C43" s="12" t="e">
        <f>VLOOKUP(D43,Datos!$A$1:$H$256,5,FALSE)</f>
        <v>#N/A</v>
      </c>
      <c r="D43" s="12">
        <v>72330064</v>
      </c>
      <c r="E43" s="12" t="e">
        <f>VLOOKUP(D43,Datos!$A$1:$H$256,6,FALSE)</f>
        <v>#N/A</v>
      </c>
      <c r="F43" s="12" t="e">
        <f>VLOOKUP(D43,Datos!$A$1:$H$256,7,FALSE)</f>
        <v>#N/A</v>
      </c>
      <c r="G43" s="12" t="e">
        <f>VLOOKUP(D43,Datos!$A$1:$H$256,8,FALSE)</f>
        <v>#N/A</v>
      </c>
      <c r="H43" s="12" t="s">
        <v>38</v>
      </c>
      <c r="I43" s="12" t="s">
        <v>97</v>
      </c>
      <c r="J43" s="12" t="s">
        <v>42</v>
      </c>
      <c r="K43" s="12" t="s">
        <v>90</v>
      </c>
      <c r="L43" s="12">
        <v>10</v>
      </c>
      <c r="M43" s="13">
        <f t="shared" si="1"/>
        <v>0.4</v>
      </c>
      <c r="N43" s="12">
        <v>10</v>
      </c>
      <c r="O43" s="13">
        <f t="shared" si="2"/>
        <v>1</v>
      </c>
      <c r="P43" s="12">
        <v>19</v>
      </c>
      <c r="Q43" s="13">
        <f t="shared" si="3"/>
        <v>0.38</v>
      </c>
      <c r="R43" s="12">
        <v>5</v>
      </c>
      <c r="S43" s="13">
        <f t="shared" si="4"/>
        <v>0.33333333333333331</v>
      </c>
      <c r="T43" s="12">
        <f t="shared" si="5"/>
        <v>44</v>
      </c>
      <c r="U43" s="13">
        <f t="shared" si="6"/>
        <v>0.44</v>
      </c>
      <c r="V43" s="13" t="str">
        <f t="shared" si="0"/>
        <v>INGRESÓ</v>
      </c>
      <c r="W43" s="13" t="s">
        <v>88</v>
      </c>
      <c r="X43" s="14">
        <v>45745</v>
      </c>
      <c r="Y43" s="13" t="s">
        <v>96</v>
      </c>
      <c r="Z43" s="13" t="e">
        <f>VLOOKUP(D43,Datos!$A$1:$C$256,3,FALSE)</f>
        <v>#N/A</v>
      </c>
    </row>
    <row r="44" spans="1:26" hidden="1" x14ac:dyDescent="0.25">
      <c r="A44" s="12">
        <v>43</v>
      </c>
      <c r="B44" s="12" t="e">
        <f>VLOOKUP(D44,Datos!$A$1:$H$256,4,FALSE)</f>
        <v>#N/A</v>
      </c>
      <c r="C44" s="12" t="e">
        <f>VLOOKUP(D44,Datos!$A$1:$H$256,5,FALSE)</f>
        <v>#N/A</v>
      </c>
      <c r="D44" s="12">
        <v>61247167</v>
      </c>
      <c r="E44" s="12" t="e">
        <f>VLOOKUP(D44,Datos!$A$1:$H$256,6,FALSE)</f>
        <v>#N/A</v>
      </c>
      <c r="F44" s="12" t="e">
        <f>VLOOKUP(D44,Datos!$A$1:$H$256,7,FALSE)</f>
        <v>#N/A</v>
      </c>
      <c r="G44" s="12" t="e">
        <f>VLOOKUP(D44,Datos!$A$1:$H$256,8,FALSE)</f>
        <v>#N/A</v>
      </c>
      <c r="H44" s="12" t="s">
        <v>38</v>
      </c>
      <c r="I44" s="12" t="s">
        <v>97</v>
      </c>
      <c r="J44" s="12" t="s">
        <v>42</v>
      </c>
      <c r="K44" s="12" t="s">
        <v>90</v>
      </c>
      <c r="L44" s="12">
        <v>9</v>
      </c>
      <c r="M44" s="13">
        <f t="shared" si="1"/>
        <v>0.36</v>
      </c>
      <c r="N44" s="12">
        <v>9</v>
      </c>
      <c r="O44" s="13">
        <f t="shared" si="2"/>
        <v>0.9</v>
      </c>
      <c r="P44" s="12">
        <v>13</v>
      </c>
      <c r="Q44" s="13">
        <f t="shared" si="3"/>
        <v>0.26</v>
      </c>
      <c r="R44" s="12">
        <v>3</v>
      </c>
      <c r="S44" s="13">
        <f t="shared" si="4"/>
        <v>0.2</v>
      </c>
      <c r="T44" s="12">
        <f t="shared" si="5"/>
        <v>34</v>
      </c>
      <c r="U44" s="13">
        <f t="shared" si="6"/>
        <v>0.34</v>
      </c>
      <c r="V44" s="13" t="str">
        <f t="shared" si="0"/>
        <v>INGRESÓ</v>
      </c>
      <c r="W44" s="13" t="s">
        <v>88</v>
      </c>
      <c r="X44" s="14">
        <v>45745</v>
      </c>
      <c r="Y44" s="13" t="s">
        <v>96</v>
      </c>
      <c r="Z44" s="13" t="e">
        <f>VLOOKUP(D44,Datos!$A$1:$C$256,3,FALSE)</f>
        <v>#N/A</v>
      </c>
    </row>
    <row r="45" spans="1:26" hidden="1" x14ac:dyDescent="0.25">
      <c r="A45" s="12">
        <v>44</v>
      </c>
      <c r="B45" s="12" t="e">
        <f>VLOOKUP(D45,Datos!$A$1:$H$256,4,FALSE)</f>
        <v>#N/A</v>
      </c>
      <c r="C45" s="12" t="e">
        <f>VLOOKUP(D45,Datos!$A$1:$H$256,5,FALSE)</f>
        <v>#N/A</v>
      </c>
      <c r="D45" s="12">
        <v>61298161</v>
      </c>
      <c r="E45" s="12" t="e">
        <f>VLOOKUP(D45,Datos!$A$1:$H$256,6,FALSE)</f>
        <v>#N/A</v>
      </c>
      <c r="F45" s="12" t="e">
        <f>VLOOKUP(D45,Datos!$A$1:$H$256,7,FALSE)</f>
        <v>#N/A</v>
      </c>
      <c r="G45" s="12" t="e">
        <f>VLOOKUP(D45,Datos!$A$1:$H$256,8,FALSE)</f>
        <v>#N/A</v>
      </c>
      <c r="H45" s="12" t="s">
        <v>38</v>
      </c>
      <c r="I45" s="12" t="s">
        <v>97</v>
      </c>
      <c r="J45" s="12" t="s">
        <v>42</v>
      </c>
      <c r="K45" s="12" t="s">
        <v>90</v>
      </c>
      <c r="L45" s="12">
        <v>12</v>
      </c>
      <c r="M45" s="13">
        <f t="shared" si="1"/>
        <v>0.48</v>
      </c>
      <c r="N45" s="12">
        <v>8</v>
      </c>
      <c r="O45" s="13">
        <f t="shared" si="2"/>
        <v>0.8</v>
      </c>
      <c r="P45" s="12">
        <v>17</v>
      </c>
      <c r="Q45" s="13">
        <f t="shared" si="3"/>
        <v>0.34</v>
      </c>
      <c r="R45" s="12">
        <v>7</v>
      </c>
      <c r="S45" s="13">
        <f t="shared" si="4"/>
        <v>0.46666666666666667</v>
      </c>
      <c r="T45" s="12">
        <f t="shared" si="5"/>
        <v>44</v>
      </c>
      <c r="U45" s="13">
        <f t="shared" si="6"/>
        <v>0.44</v>
      </c>
      <c r="V45" s="13" t="str">
        <f t="shared" si="0"/>
        <v>INGRESÓ</v>
      </c>
      <c r="W45" s="13" t="s">
        <v>88</v>
      </c>
      <c r="X45" s="14">
        <v>45745</v>
      </c>
      <c r="Y45" s="13" t="s">
        <v>96</v>
      </c>
      <c r="Z45" s="13" t="e">
        <f>VLOOKUP(D45,Datos!$A$1:$C$256,3,FALSE)</f>
        <v>#N/A</v>
      </c>
    </row>
    <row r="46" spans="1:26" hidden="1" x14ac:dyDescent="0.25">
      <c r="A46" s="12">
        <v>45</v>
      </c>
      <c r="B46" s="12" t="e">
        <f>VLOOKUP(D46,Datos!$A$1:$H$256,4,FALSE)</f>
        <v>#N/A</v>
      </c>
      <c r="C46" s="12" t="e">
        <f>VLOOKUP(D46,Datos!$A$1:$H$256,5,FALSE)</f>
        <v>#N/A</v>
      </c>
      <c r="D46" s="12">
        <v>61135046</v>
      </c>
      <c r="E46" s="12" t="e">
        <f>VLOOKUP(D46,Datos!$A$1:$H$256,6,FALSE)</f>
        <v>#N/A</v>
      </c>
      <c r="F46" s="12" t="e">
        <f>VLOOKUP(D46,Datos!$A$1:$H$256,7,FALSE)</f>
        <v>#N/A</v>
      </c>
      <c r="G46" s="12" t="e">
        <f>VLOOKUP(D46,Datos!$A$1:$H$256,8,FALSE)</f>
        <v>#N/A</v>
      </c>
      <c r="H46" s="12" t="s">
        <v>38</v>
      </c>
      <c r="I46" s="12" t="s">
        <v>20</v>
      </c>
      <c r="J46" s="12" t="s">
        <v>42</v>
      </c>
      <c r="K46" s="12" t="s">
        <v>90</v>
      </c>
      <c r="L46" s="12">
        <v>7</v>
      </c>
      <c r="M46" s="13">
        <f t="shared" si="1"/>
        <v>0.28000000000000003</v>
      </c>
      <c r="N46" s="12">
        <v>10</v>
      </c>
      <c r="O46" s="13">
        <f t="shared" si="2"/>
        <v>1</v>
      </c>
      <c r="P46" s="12">
        <v>29</v>
      </c>
      <c r="Q46" s="13">
        <f t="shared" si="3"/>
        <v>0.57999999999999996</v>
      </c>
      <c r="R46" s="12">
        <v>4</v>
      </c>
      <c r="S46" s="13">
        <f t="shared" si="4"/>
        <v>0.26666666666666666</v>
      </c>
      <c r="T46" s="12">
        <f t="shared" si="5"/>
        <v>50</v>
      </c>
      <c r="U46" s="13">
        <f t="shared" si="6"/>
        <v>0.5</v>
      </c>
      <c r="V46" s="13" t="str">
        <f t="shared" si="0"/>
        <v>INGRESÓ</v>
      </c>
      <c r="W46" s="13" t="s">
        <v>88</v>
      </c>
      <c r="X46" s="14">
        <v>45745</v>
      </c>
      <c r="Y46" s="13" t="s">
        <v>96</v>
      </c>
      <c r="Z46" s="13" t="e">
        <f>VLOOKUP(D46,Datos!$A$1:$C$256,3,FALSE)</f>
        <v>#N/A</v>
      </c>
    </row>
    <row r="47" spans="1:26" hidden="1" x14ac:dyDescent="0.25">
      <c r="A47" s="12">
        <v>46</v>
      </c>
      <c r="B47" s="12" t="e">
        <f>VLOOKUP(D47,Datos!$A$1:$H$256,4,FALSE)</f>
        <v>#N/A</v>
      </c>
      <c r="C47" s="12" t="e">
        <f>VLOOKUP(D47,Datos!$A$1:$H$256,5,FALSE)</f>
        <v>#N/A</v>
      </c>
      <c r="D47" s="12">
        <v>62703461</v>
      </c>
      <c r="E47" s="12" t="e">
        <f>VLOOKUP(D47,Datos!$A$1:$H$256,6,FALSE)</f>
        <v>#N/A</v>
      </c>
      <c r="F47" s="12" t="e">
        <f>VLOOKUP(D47,Datos!$A$1:$H$256,7,FALSE)</f>
        <v>#N/A</v>
      </c>
      <c r="G47" s="12" t="e">
        <f>VLOOKUP(D47,Datos!$A$1:$H$256,8,FALSE)</f>
        <v>#N/A</v>
      </c>
      <c r="H47" s="12" t="s">
        <v>38</v>
      </c>
      <c r="I47" s="12" t="s">
        <v>55</v>
      </c>
      <c r="J47" s="12" t="s">
        <v>42</v>
      </c>
      <c r="K47" s="12" t="s">
        <v>90</v>
      </c>
      <c r="L47" s="12">
        <v>11</v>
      </c>
      <c r="M47" s="13">
        <f t="shared" si="1"/>
        <v>0.44</v>
      </c>
      <c r="N47" s="12">
        <v>0</v>
      </c>
      <c r="O47" s="13">
        <f t="shared" si="2"/>
        <v>0</v>
      </c>
      <c r="P47" s="12">
        <v>10</v>
      </c>
      <c r="Q47" s="13">
        <f t="shared" si="3"/>
        <v>0.2</v>
      </c>
      <c r="R47" s="12">
        <v>3</v>
      </c>
      <c r="S47" s="13">
        <f t="shared" si="4"/>
        <v>0.2</v>
      </c>
      <c r="T47" s="12">
        <f t="shared" si="5"/>
        <v>24</v>
      </c>
      <c r="U47" s="13">
        <f t="shared" si="6"/>
        <v>0.24</v>
      </c>
      <c r="V47" s="13" t="str">
        <f t="shared" si="0"/>
        <v>INGRESÓ</v>
      </c>
      <c r="W47" s="13" t="s">
        <v>88</v>
      </c>
      <c r="X47" s="14">
        <v>45745</v>
      </c>
      <c r="Y47" s="13" t="s">
        <v>96</v>
      </c>
      <c r="Z47" s="13" t="e">
        <f>VLOOKUP(D47,Datos!$A$1:$C$256,3,FALSE)</f>
        <v>#N/A</v>
      </c>
    </row>
    <row r="48" spans="1:26" hidden="1" x14ac:dyDescent="0.25">
      <c r="A48" s="12">
        <v>47</v>
      </c>
      <c r="B48" s="12" t="e">
        <f>VLOOKUP(D48,Datos!$A$1:$H$256,4,FALSE)</f>
        <v>#N/A</v>
      </c>
      <c r="C48" s="12" t="e">
        <f>VLOOKUP(D48,Datos!$A$1:$H$256,5,FALSE)</f>
        <v>#N/A</v>
      </c>
      <c r="D48" s="12">
        <v>61297966</v>
      </c>
      <c r="E48" s="12" t="e">
        <f>VLOOKUP(D48,Datos!$A$1:$H$256,6,FALSE)</f>
        <v>#N/A</v>
      </c>
      <c r="F48" s="12" t="e">
        <f>VLOOKUP(D48,Datos!$A$1:$H$256,7,FALSE)</f>
        <v>#N/A</v>
      </c>
      <c r="G48" s="12" t="e">
        <f>VLOOKUP(D48,Datos!$A$1:$H$256,8,FALSE)</f>
        <v>#N/A</v>
      </c>
      <c r="H48" s="12" t="s">
        <v>38</v>
      </c>
      <c r="I48" s="12" t="s">
        <v>55</v>
      </c>
      <c r="J48" s="12" t="s">
        <v>42</v>
      </c>
      <c r="K48" s="12" t="s">
        <v>90</v>
      </c>
      <c r="L48" s="12">
        <v>12</v>
      </c>
      <c r="M48" s="13">
        <f t="shared" si="1"/>
        <v>0.48</v>
      </c>
      <c r="N48" s="12">
        <v>10</v>
      </c>
      <c r="O48" s="13">
        <f t="shared" si="2"/>
        <v>1</v>
      </c>
      <c r="P48" s="12">
        <v>12</v>
      </c>
      <c r="Q48" s="13">
        <f t="shared" si="3"/>
        <v>0.24</v>
      </c>
      <c r="R48" s="12">
        <v>6</v>
      </c>
      <c r="S48" s="13">
        <f t="shared" si="4"/>
        <v>0.4</v>
      </c>
      <c r="T48" s="12">
        <f t="shared" si="5"/>
        <v>40</v>
      </c>
      <c r="U48" s="13">
        <f t="shared" si="6"/>
        <v>0.4</v>
      </c>
      <c r="V48" s="13" t="str">
        <f t="shared" si="0"/>
        <v>INGRESÓ</v>
      </c>
      <c r="W48" s="13" t="s">
        <v>88</v>
      </c>
      <c r="X48" s="14">
        <v>45745</v>
      </c>
      <c r="Y48" s="13" t="s">
        <v>96</v>
      </c>
      <c r="Z48" s="13" t="e">
        <f>VLOOKUP(D48,Datos!$A$1:$C$256,3,FALSE)</f>
        <v>#N/A</v>
      </c>
    </row>
    <row r="49" spans="1:26" hidden="1" x14ac:dyDescent="0.25">
      <c r="A49" s="12">
        <v>48</v>
      </c>
      <c r="B49" s="12" t="e">
        <f>VLOOKUP(D49,Datos!$A$1:$H$256,4,FALSE)</f>
        <v>#N/A</v>
      </c>
      <c r="C49" s="12" t="e">
        <f>VLOOKUP(D49,Datos!$A$1:$H$256,5,FALSE)</f>
        <v>#N/A</v>
      </c>
      <c r="D49" s="12">
        <v>61247605</v>
      </c>
      <c r="E49" s="12" t="e">
        <f>VLOOKUP(D49,Datos!$A$1:$H$256,6,FALSE)</f>
        <v>#N/A</v>
      </c>
      <c r="F49" s="12" t="e">
        <f>VLOOKUP(D49,Datos!$A$1:$H$256,7,FALSE)</f>
        <v>#N/A</v>
      </c>
      <c r="G49" s="12" t="e">
        <f>VLOOKUP(D49,Datos!$A$1:$H$256,8,FALSE)</f>
        <v>#N/A</v>
      </c>
      <c r="H49" s="12" t="s">
        <v>38</v>
      </c>
      <c r="I49" s="12" t="s">
        <v>20</v>
      </c>
      <c r="J49" s="12" t="s">
        <v>42</v>
      </c>
      <c r="K49" s="12" t="s">
        <v>90</v>
      </c>
      <c r="L49" s="12">
        <v>12</v>
      </c>
      <c r="M49" s="13">
        <f t="shared" si="1"/>
        <v>0.48</v>
      </c>
      <c r="N49" s="12">
        <v>5</v>
      </c>
      <c r="O49" s="13">
        <f t="shared" si="2"/>
        <v>0.5</v>
      </c>
      <c r="P49" s="12">
        <v>31</v>
      </c>
      <c r="Q49" s="13">
        <f t="shared" si="3"/>
        <v>0.62</v>
      </c>
      <c r="R49" s="12">
        <v>6</v>
      </c>
      <c r="S49" s="13">
        <f t="shared" si="4"/>
        <v>0.4</v>
      </c>
      <c r="T49" s="12">
        <f t="shared" si="5"/>
        <v>54</v>
      </c>
      <c r="U49" s="13">
        <f t="shared" si="6"/>
        <v>0.54</v>
      </c>
      <c r="V49" s="13" t="str">
        <f t="shared" si="0"/>
        <v>INGRESÓ</v>
      </c>
      <c r="W49" s="13" t="s">
        <v>88</v>
      </c>
      <c r="X49" s="14">
        <v>45745</v>
      </c>
      <c r="Y49" s="13" t="s">
        <v>96</v>
      </c>
      <c r="Z49" s="13" t="e">
        <f>VLOOKUP(D49,Datos!$A$1:$C$256,3,FALSE)</f>
        <v>#N/A</v>
      </c>
    </row>
    <row r="50" spans="1:26" hidden="1" x14ac:dyDescent="0.25">
      <c r="A50" s="12">
        <v>49</v>
      </c>
      <c r="B50" s="12" t="e">
        <f>VLOOKUP(D50,Datos!$A$1:$H$256,4,FALSE)</f>
        <v>#N/A</v>
      </c>
      <c r="C50" s="12" t="e">
        <f>VLOOKUP(D50,Datos!$A$1:$H$256,5,FALSE)</f>
        <v>#N/A</v>
      </c>
      <c r="D50" s="12">
        <v>61298282</v>
      </c>
      <c r="E50" s="12" t="e">
        <f>VLOOKUP(D50,Datos!$A$1:$H$256,6,FALSE)</f>
        <v>#N/A</v>
      </c>
      <c r="F50" s="12" t="e">
        <f>VLOOKUP(D50,Datos!$A$1:$H$256,7,FALSE)</f>
        <v>#N/A</v>
      </c>
      <c r="G50" s="12" t="e">
        <f>VLOOKUP(D50,Datos!$A$1:$H$256,8,FALSE)</f>
        <v>#N/A</v>
      </c>
      <c r="H50" s="12" t="s">
        <v>38</v>
      </c>
      <c r="I50" s="12" t="s">
        <v>97</v>
      </c>
      <c r="J50" s="12" t="s">
        <v>42</v>
      </c>
      <c r="K50" s="12" t="s">
        <v>90</v>
      </c>
      <c r="L50" s="12">
        <v>7</v>
      </c>
      <c r="M50" s="13">
        <f t="shared" si="1"/>
        <v>0.28000000000000003</v>
      </c>
      <c r="N50" s="12">
        <v>6</v>
      </c>
      <c r="O50" s="13">
        <f t="shared" si="2"/>
        <v>0.6</v>
      </c>
      <c r="P50" s="12">
        <v>8</v>
      </c>
      <c r="Q50" s="13">
        <f t="shared" si="3"/>
        <v>0.16</v>
      </c>
      <c r="R50" s="12">
        <v>4</v>
      </c>
      <c r="S50" s="13">
        <f t="shared" si="4"/>
        <v>0.26666666666666666</v>
      </c>
      <c r="T50" s="12">
        <f t="shared" si="5"/>
        <v>25</v>
      </c>
      <c r="U50" s="13">
        <f t="shared" si="6"/>
        <v>0.25</v>
      </c>
      <c r="V50" s="13" t="str">
        <f t="shared" si="0"/>
        <v>INGRESÓ</v>
      </c>
      <c r="W50" s="13" t="s">
        <v>88</v>
      </c>
      <c r="X50" s="14">
        <v>45745</v>
      </c>
      <c r="Y50" s="13" t="s">
        <v>96</v>
      </c>
      <c r="Z50" s="13" t="e">
        <f>VLOOKUP(D50,Datos!$A$1:$C$256,3,FALSE)</f>
        <v>#N/A</v>
      </c>
    </row>
    <row r="51" spans="1:26" hidden="1" x14ac:dyDescent="0.25">
      <c r="A51" s="12">
        <v>50</v>
      </c>
      <c r="B51" s="12" t="e">
        <f>VLOOKUP(D51,Datos!$A$1:$H$256,4,FALSE)</f>
        <v>#N/A</v>
      </c>
      <c r="C51" s="12" t="e">
        <f>VLOOKUP(D51,Datos!$A$1:$H$256,5,FALSE)</f>
        <v>#N/A</v>
      </c>
      <c r="D51" s="12">
        <v>62310749</v>
      </c>
      <c r="E51" s="12" t="e">
        <f>VLOOKUP(D51,Datos!$A$1:$H$256,6,FALSE)</f>
        <v>#N/A</v>
      </c>
      <c r="F51" s="12" t="e">
        <f>VLOOKUP(D51,Datos!$A$1:$H$256,7,FALSE)</f>
        <v>#N/A</v>
      </c>
      <c r="G51" s="12" t="e">
        <f>VLOOKUP(D51,Datos!$A$1:$H$256,8,FALSE)</f>
        <v>#N/A</v>
      </c>
      <c r="H51" s="12" t="s">
        <v>38</v>
      </c>
      <c r="I51" s="12" t="s">
        <v>97</v>
      </c>
      <c r="J51" s="12" t="s">
        <v>42</v>
      </c>
      <c r="K51" s="12" t="s">
        <v>90</v>
      </c>
      <c r="L51" s="12">
        <v>8</v>
      </c>
      <c r="M51" s="13">
        <f t="shared" si="1"/>
        <v>0.32</v>
      </c>
      <c r="N51" s="12">
        <v>8</v>
      </c>
      <c r="O51" s="13">
        <f t="shared" si="2"/>
        <v>0.8</v>
      </c>
      <c r="P51" s="12">
        <v>13</v>
      </c>
      <c r="Q51" s="13">
        <f t="shared" si="3"/>
        <v>0.26</v>
      </c>
      <c r="R51" s="12">
        <v>4</v>
      </c>
      <c r="S51" s="13">
        <f t="shared" si="4"/>
        <v>0.26666666666666666</v>
      </c>
      <c r="T51" s="12">
        <f t="shared" si="5"/>
        <v>33</v>
      </c>
      <c r="U51" s="13">
        <f t="shared" si="6"/>
        <v>0.33</v>
      </c>
      <c r="V51" s="13" t="str">
        <f t="shared" si="0"/>
        <v>INGRESÓ</v>
      </c>
      <c r="W51" s="13" t="s">
        <v>88</v>
      </c>
      <c r="X51" s="14">
        <v>45745</v>
      </c>
      <c r="Y51" s="13" t="s">
        <v>96</v>
      </c>
      <c r="Z51" s="13" t="e">
        <f>VLOOKUP(D51,Datos!$A$1:$C$256,3,FALSE)</f>
        <v>#N/A</v>
      </c>
    </row>
    <row r="52" spans="1:26" hidden="1" x14ac:dyDescent="0.25">
      <c r="A52" s="12">
        <v>51</v>
      </c>
      <c r="B52" s="12" t="e">
        <f>VLOOKUP(D52,Datos!$A$1:$H$256,4,FALSE)</f>
        <v>#N/A</v>
      </c>
      <c r="C52" s="12" t="e">
        <f>VLOOKUP(D52,Datos!$A$1:$H$256,5,FALSE)</f>
        <v>#N/A</v>
      </c>
      <c r="D52" s="12">
        <v>70363483</v>
      </c>
      <c r="E52" s="12" t="e">
        <f>VLOOKUP(D52,Datos!$A$1:$H$256,6,FALSE)</f>
        <v>#N/A</v>
      </c>
      <c r="F52" s="12" t="e">
        <f>VLOOKUP(D52,Datos!$A$1:$H$256,7,FALSE)</f>
        <v>#N/A</v>
      </c>
      <c r="G52" s="12" t="e">
        <f>VLOOKUP(D52,Datos!$A$1:$H$256,8,FALSE)</f>
        <v>#N/A</v>
      </c>
      <c r="H52" s="12" t="s">
        <v>38</v>
      </c>
      <c r="I52" s="12" t="s">
        <v>97</v>
      </c>
      <c r="J52" s="12" t="s">
        <v>42</v>
      </c>
      <c r="K52" s="12" t="s">
        <v>90</v>
      </c>
      <c r="L52" s="12">
        <v>12</v>
      </c>
      <c r="M52" s="13">
        <f t="shared" si="1"/>
        <v>0.48</v>
      </c>
      <c r="N52" s="12">
        <v>7</v>
      </c>
      <c r="O52" s="13">
        <f t="shared" si="2"/>
        <v>0.7</v>
      </c>
      <c r="P52" s="12">
        <v>16</v>
      </c>
      <c r="Q52" s="13">
        <f t="shared" si="3"/>
        <v>0.32</v>
      </c>
      <c r="R52" s="12">
        <v>3</v>
      </c>
      <c r="S52" s="13">
        <f t="shared" si="4"/>
        <v>0.2</v>
      </c>
      <c r="T52" s="12">
        <f t="shared" si="5"/>
        <v>38</v>
      </c>
      <c r="U52" s="13">
        <f t="shared" si="6"/>
        <v>0.38</v>
      </c>
      <c r="V52" s="13" t="str">
        <f t="shared" si="0"/>
        <v>INGRESÓ</v>
      </c>
      <c r="W52" s="13" t="s">
        <v>88</v>
      </c>
      <c r="X52" s="14">
        <v>45745</v>
      </c>
      <c r="Y52" s="13" t="s">
        <v>96</v>
      </c>
      <c r="Z52" s="13" t="e">
        <f>VLOOKUP(D52,Datos!$A$1:$C$256,3,FALSE)</f>
        <v>#N/A</v>
      </c>
    </row>
    <row r="53" spans="1:26" hidden="1" x14ac:dyDescent="0.25">
      <c r="A53" s="12">
        <v>52</v>
      </c>
      <c r="B53" s="12" t="e">
        <f>VLOOKUP(D53,Datos!$A$1:$H$256,4,FALSE)</f>
        <v>#N/A</v>
      </c>
      <c r="C53" s="12" t="e">
        <f>VLOOKUP(D53,Datos!$A$1:$H$256,5,FALSE)</f>
        <v>#N/A</v>
      </c>
      <c r="D53" s="12">
        <v>70363484</v>
      </c>
      <c r="E53" s="12" t="e">
        <f>VLOOKUP(D53,Datos!$A$1:$H$256,6,FALSE)</f>
        <v>#N/A</v>
      </c>
      <c r="F53" s="12" t="e">
        <f>VLOOKUP(D53,Datos!$A$1:$H$256,7,FALSE)</f>
        <v>#N/A</v>
      </c>
      <c r="G53" s="12" t="e">
        <f>VLOOKUP(D53,Datos!$A$1:$H$256,8,FALSE)</f>
        <v>#N/A</v>
      </c>
      <c r="H53" s="12" t="s">
        <v>38</v>
      </c>
      <c r="I53" s="12" t="s">
        <v>97</v>
      </c>
      <c r="J53" s="12" t="s">
        <v>42</v>
      </c>
      <c r="K53" s="12" t="s">
        <v>90</v>
      </c>
      <c r="L53" s="12">
        <v>11</v>
      </c>
      <c r="M53" s="13">
        <f t="shared" si="1"/>
        <v>0.44</v>
      </c>
      <c r="N53" s="12">
        <v>8</v>
      </c>
      <c r="O53" s="13">
        <f t="shared" si="2"/>
        <v>0.8</v>
      </c>
      <c r="P53" s="12">
        <v>13</v>
      </c>
      <c r="Q53" s="13">
        <f t="shared" si="3"/>
        <v>0.26</v>
      </c>
      <c r="R53" s="12">
        <v>5</v>
      </c>
      <c r="S53" s="13">
        <f t="shared" si="4"/>
        <v>0.33333333333333331</v>
      </c>
      <c r="T53" s="12">
        <f t="shared" si="5"/>
        <v>37</v>
      </c>
      <c r="U53" s="13">
        <f t="shared" si="6"/>
        <v>0.37</v>
      </c>
      <c r="V53" s="13" t="str">
        <f t="shared" si="0"/>
        <v>INGRESÓ</v>
      </c>
      <c r="W53" s="13" t="s">
        <v>88</v>
      </c>
      <c r="X53" s="14">
        <v>45745</v>
      </c>
      <c r="Y53" s="13" t="s">
        <v>96</v>
      </c>
      <c r="Z53" s="13" t="e">
        <f>VLOOKUP(D53,Datos!$A$1:$C$256,3,FALSE)</f>
        <v>#N/A</v>
      </c>
    </row>
    <row r="54" spans="1:26" hidden="1" x14ac:dyDescent="0.25">
      <c r="A54" s="12">
        <v>53</v>
      </c>
      <c r="B54" s="12" t="e">
        <f>VLOOKUP(D54,Datos!$A$1:$H$256,4,FALSE)</f>
        <v>#N/A</v>
      </c>
      <c r="C54" s="12" t="e">
        <f>VLOOKUP(D54,Datos!$A$1:$H$256,5,FALSE)</f>
        <v>#N/A</v>
      </c>
      <c r="D54" s="12">
        <v>63029942</v>
      </c>
      <c r="E54" s="12" t="e">
        <f>VLOOKUP(D54,Datos!$A$1:$H$256,6,FALSE)</f>
        <v>#N/A</v>
      </c>
      <c r="F54" s="12" t="e">
        <f>VLOOKUP(D54,Datos!$A$1:$H$256,7,FALSE)</f>
        <v>#N/A</v>
      </c>
      <c r="G54" s="12" t="e">
        <f>VLOOKUP(D54,Datos!$A$1:$H$256,8,FALSE)</f>
        <v>#N/A</v>
      </c>
      <c r="H54" s="12" t="s">
        <v>38</v>
      </c>
      <c r="I54" s="12" t="s">
        <v>97</v>
      </c>
      <c r="J54" s="12" t="s">
        <v>42</v>
      </c>
      <c r="K54" s="12" t="s">
        <v>90</v>
      </c>
      <c r="L54" s="12">
        <v>7</v>
      </c>
      <c r="M54" s="13">
        <f t="shared" si="1"/>
        <v>0.28000000000000003</v>
      </c>
      <c r="N54" s="12">
        <v>9</v>
      </c>
      <c r="O54" s="13">
        <f t="shared" si="2"/>
        <v>0.9</v>
      </c>
      <c r="P54" s="12">
        <v>14</v>
      </c>
      <c r="Q54" s="13">
        <f t="shared" si="3"/>
        <v>0.28000000000000003</v>
      </c>
      <c r="R54" s="12">
        <v>5</v>
      </c>
      <c r="S54" s="13">
        <f t="shared" si="4"/>
        <v>0.33333333333333331</v>
      </c>
      <c r="T54" s="12">
        <f t="shared" si="5"/>
        <v>35</v>
      </c>
      <c r="U54" s="13">
        <f t="shared" si="6"/>
        <v>0.35</v>
      </c>
      <c r="V54" s="13" t="str">
        <f t="shared" si="0"/>
        <v>INGRESÓ</v>
      </c>
      <c r="W54" s="13" t="s">
        <v>88</v>
      </c>
      <c r="X54" s="14">
        <v>45745</v>
      </c>
      <c r="Y54" s="13" t="s">
        <v>96</v>
      </c>
      <c r="Z54" s="13" t="e">
        <f>VLOOKUP(D54,Datos!$A$1:$C$256,3,FALSE)</f>
        <v>#N/A</v>
      </c>
    </row>
    <row r="55" spans="1:26" hidden="1" x14ac:dyDescent="0.25">
      <c r="A55" s="12">
        <v>54</v>
      </c>
      <c r="B55" s="12" t="e">
        <f>VLOOKUP(D55,Datos!$A$1:$H$256,4,FALSE)</f>
        <v>#N/A</v>
      </c>
      <c r="C55" s="12" t="e">
        <f>VLOOKUP(D55,Datos!$A$1:$H$256,5,FALSE)</f>
        <v>#N/A</v>
      </c>
      <c r="D55" s="12">
        <v>72691609</v>
      </c>
      <c r="E55" s="12" t="e">
        <f>VLOOKUP(D55,Datos!$A$1:$H$256,6,FALSE)</f>
        <v>#N/A</v>
      </c>
      <c r="F55" s="12" t="e">
        <f>VLOOKUP(D55,Datos!$A$1:$H$256,7,FALSE)</f>
        <v>#N/A</v>
      </c>
      <c r="G55" s="12" t="e">
        <f>VLOOKUP(D55,Datos!$A$1:$H$256,8,FALSE)</f>
        <v>#N/A</v>
      </c>
      <c r="H55" s="12" t="s">
        <v>38</v>
      </c>
      <c r="I55" s="12" t="s">
        <v>97</v>
      </c>
      <c r="J55" s="12" t="s">
        <v>42</v>
      </c>
      <c r="K55" s="12" t="s">
        <v>90</v>
      </c>
      <c r="L55" s="12">
        <v>4</v>
      </c>
      <c r="M55" s="13">
        <f t="shared" si="1"/>
        <v>0.16</v>
      </c>
      <c r="N55" s="12">
        <v>5</v>
      </c>
      <c r="O55" s="13">
        <f t="shared" si="2"/>
        <v>0.5</v>
      </c>
      <c r="P55" s="12">
        <v>7</v>
      </c>
      <c r="Q55" s="13">
        <f t="shared" si="3"/>
        <v>0.14000000000000001</v>
      </c>
      <c r="R55" s="12">
        <v>3</v>
      </c>
      <c r="S55" s="13">
        <f t="shared" si="4"/>
        <v>0.2</v>
      </c>
      <c r="T55" s="12">
        <f t="shared" si="5"/>
        <v>19</v>
      </c>
      <c r="U55" s="13">
        <f t="shared" si="6"/>
        <v>0.19</v>
      </c>
      <c r="V55" s="13" t="str">
        <f t="shared" si="0"/>
        <v>INGRESÓ</v>
      </c>
      <c r="W55" s="13" t="s">
        <v>88</v>
      </c>
      <c r="X55" s="14">
        <v>45745</v>
      </c>
      <c r="Y55" s="13" t="s">
        <v>96</v>
      </c>
      <c r="Z55" s="13" t="e">
        <f>VLOOKUP(D55,Datos!$A$1:$C$256,3,FALSE)</f>
        <v>#N/A</v>
      </c>
    </row>
    <row r="56" spans="1:26" hidden="1" x14ac:dyDescent="0.25">
      <c r="A56" s="12">
        <v>55</v>
      </c>
      <c r="B56" s="12" t="e">
        <f>VLOOKUP(D56,Datos!$A$1:$H$256,4,FALSE)</f>
        <v>#N/A</v>
      </c>
      <c r="C56" s="12" t="e">
        <f>VLOOKUP(D56,Datos!$A$1:$H$256,5,FALSE)</f>
        <v>#N/A</v>
      </c>
      <c r="D56" s="12">
        <v>72490152</v>
      </c>
      <c r="E56" s="12" t="e">
        <f>VLOOKUP(D56,Datos!$A$1:$H$256,6,FALSE)</f>
        <v>#N/A</v>
      </c>
      <c r="F56" s="12" t="e">
        <f>VLOOKUP(D56,Datos!$A$1:$H$256,7,FALSE)</f>
        <v>#N/A</v>
      </c>
      <c r="G56" s="12" t="e">
        <f>VLOOKUP(D56,Datos!$A$1:$H$256,8,FALSE)</f>
        <v>#N/A</v>
      </c>
      <c r="H56" s="12" t="s">
        <v>38</v>
      </c>
      <c r="I56" s="12" t="s">
        <v>55</v>
      </c>
      <c r="J56" s="12" t="s">
        <v>42</v>
      </c>
      <c r="K56" s="12" t="s">
        <v>90</v>
      </c>
      <c r="L56" s="12">
        <v>14</v>
      </c>
      <c r="M56" s="13">
        <f t="shared" si="1"/>
        <v>0.56000000000000005</v>
      </c>
      <c r="N56" s="12">
        <v>6</v>
      </c>
      <c r="O56" s="13">
        <f t="shared" si="2"/>
        <v>0.6</v>
      </c>
      <c r="P56" s="12">
        <v>12</v>
      </c>
      <c r="Q56" s="13">
        <f t="shared" si="3"/>
        <v>0.24</v>
      </c>
      <c r="R56" s="12">
        <v>3</v>
      </c>
      <c r="S56" s="13">
        <f t="shared" si="4"/>
        <v>0.2</v>
      </c>
      <c r="T56" s="12">
        <f t="shared" si="5"/>
        <v>35</v>
      </c>
      <c r="U56" s="13">
        <f t="shared" si="6"/>
        <v>0.35</v>
      </c>
      <c r="V56" s="13" t="str">
        <f t="shared" si="0"/>
        <v>INGRESÓ</v>
      </c>
      <c r="W56" s="13" t="s">
        <v>88</v>
      </c>
      <c r="X56" s="14">
        <v>45745</v>
      </c>
      <c r="Y56" s="13" t="s">
        <v>96</v>
      </c>
      <c r="Z56" s="13" t="e">
        <f>VLOOKUP(D56,Datos!$A$1:$C$256,3,FALSE)</f>
        <v>#N/A</v>
      </c>
    </row>
    <row r="57" spans="1:26" hidden="1" x14ac:dyDescent="0.25">
      <c r="A57" s="12">
        <v>56</v>
      </c>
      <c r="B57" s="12" t="e">
        <f>VLOOKUP(D57,Datos!$A$1:$H$256,4,FALSE)</f>
        <v>#N/A</v>
      </c>
      <c r="C57" s="12" t="e">
        <f>VLOOKUP(D57,Datos!$A$1:$H$256,5,FALSE)</f>
        <v>#N/A</v>
      </c>
      <c r="D57" s="12">
        <v>61340949</v>
      </c>
      <c r="E57" s="12" t="e">
        <f>VLOOKUP(D57,Datos!$A$1:$H$256,6,FALSE)</f>
        <v>#N/A</v>
      </c>
      <c r="F57" s="12" t="e">
        <f>VLOOKUP(D57,Datos!$A$1:$H$256,7,FALSE)</f>
        <v>#N/A</v>
      </c>
      <c r="G57" s="12" t="e">
        <f>VLOOKUP(D57,Datos!$A$1:$H$256,8,FALSE)</f>
        <v>#N/A</v>
      </c>
      <c r="H57" s="12" t="s">
        <v>38</v>
      </c>
      <c r="I57" s="12" t="s">
        <v>97</v>
      </c>
      <c r="J57" s="12" t="s">
        <v>42</v>
      </c>
      <c r="K57" s="12" t="s">
        <v>90</v>
      </c>
      <c r="L57" s="12">
        <v>8</v>
      </c>
      <c r="M57" s="13">
        <f t="shared" si="1"/>
        <v>0.32</v>
      </c>
      <c r="N57" s="12">
        <v>7</v>
      </c>
      <c r="O57" s="13">
        <f t="shared" si="2"/>
        <v>0.7</v>
      </c>
      <c r="P57" s="12">
        <v>16</v>
      </c>
      <c r="Q57" s="13">
        <f t="shared" si="3"/>
        <v>0.32</v>
      </c>
      <c r="R57" s="12">
        <v>6</v>
      </c>
      <c r="S57" s="13">
        <f t="shared" si="4"/>
        <v>0.4</v>
      </c>
      <c r="T57" s="12">
        <f t="shared" si="5"/>
        <v>37</v>
      </c>
      <c r="U57" s="13">
        <f t="shared" si="6"/>
        <v>0.37</v>
      </c>
      <c r="V57" s="13" t="str">
        <f t="shared" si="0"/>
        <v>INGRESÓ</v>
      </c>
      <c r="W57" s="13" t="s">
        <v>88</v>
      </c>
      <c r="X57" s="14">
        <v>45745</v>
      </c>
      <c r="Y57" s="13" t="s">
        <v>96</v>
      </c>
      <c r="Z57" s="13" t="e">
        <f>VLOOKUP(D57,Datos!$A$1:$C$256,3,FALSE)</f>
        <v>#N/A</v>
      </c>
    </row>
    <row r="58" spans="1:26" hidden="1" x14ac:dyDescent="0.25">
      <c r="A58" s="12">
        <v>57</v>
      </c>
      <c r="B58" s="12" t="e">
        <f>VLOOKUP(D58,Datos!$A$1:$H$256,4,FALSE)</f>
        <v>#N/A</v>
      </c>
      <c r="C58" s="12" t="e">
        <f>VLOOKUP(D58,Datos!$A$1:$H$256,5,FALSE)</f>
        <v>#N/A</v>
      </c>
      <c r="D58" s="12">
        <v>77703726</v>
      </c>
      <c r="E58" s="12" t="e">
        <f>VLOOKUP(D58,Datos!$A$1:$H$256,6,FALSE)</f>
        <v>#N/A</v>
      </c>
      <c r="F58" s="12" t="e">
        <f>VLOOKUP(D58,Datos!$A$1:$H$256,7,FALSE)</f>
        <v>#N/A</v>
      </c>
      <c r="G58" s="12" t="e">
        <f>VLOOKUP(D58,Datos!$A$1:$H$256,8,FALSE)</f>
        <v>#N/A</v>
      </c>
      <c r="H58" s="12" t="s">
        <v>38</v>
      </c>
      <c r="I58" s="12" t="s">
        <v>97</v>
      </c>
      <c r="J58" s="12" t="s">
        <v>42</v>
      </c>
      <c r="K58" s="12" t="s">
        <v>90</v>
      </c>
      <c r="L58" s="12">
        <v>4</v>
      </c>
      <c r="M58" s="13">
        <f t="shared" si="1"/>
        <v>0.16</v>
      </c>
      <c r="N58" s="12">
        <v>5</v>
      </c>
      <c r="O58" s="13">
        <f t="shared" si="2"/>
        <v>0.5</v>
      </c>
      <c r="P58" s="12">
        <v>11</v>
      </c>
      <c r="Q58" s="13">
        <f t="shared" si="3"/>
        <v>0.22</v>
      </c>
      <c r="R58" s="12">
        <v>1</v>
      </c>
      <c r="S58" s="13">
        <f t="shared" si="4"/>
        <v>6.6666666666666666E-2</v>
      </c>
      <c r="T58" s="12">
        <f t="shared" si="5"/>
        <v>21</v>
      </c>
      <c r="U58" s="13">
        <f t="shared" si="6"/>
        <v>0.21</v>
      </c>
      <c r="V58" s="13" t="str">
        <f t="shared" si="0"/>
        <v>INGRESÓ</v>
      </c>
      <c r="W58" s="13" t="s">
        <v>88</v>
      </c>
      <c r="X58" s="14">
        <v>45745</v>
      </c>
      <c r="Y58" s="13" t="s">
        <v>96</v>
      </c>
      <c r="Z58" s="13" t="e">
        <f>VLOOKUP(D58,Datos!$A$1:$C$256,3,FALSE)</f>
        <v>#N/A</v>
      </c>
    </row>
    <row r="59" spans="1:26" hidden="1" x14ac:dyDescent="0.25">
      <c r="A59" s="12">
        <v>58</v>
      </c>
      <c r="B59" s="12" t="e">
        <f>VLOOKUP(D59,Datos!$A$1:$H$256,4,FALSE)</f>
        <v>#N/A</v>
      </c>
      <c r="C59" s="12" t="e">
        <f>VLOOKUP(D59,Datos!$A$1:$H$256,5,FALSE)</f>
        <v>#N/A</v>
      </c>
      <c r="D59" s="12">
        <v>61060235</v>
      </c>
      <c r="E59" s="12" t="e">
        <f>VLOOKUP(D59,Datos!$A$1:$H$256,6,FALSE)</f>
        <v>#N/A</v>
      </c>
      <c r="F59" s="12" t="e">
        <f>VLOOKUP(D59,Datos!$A$1:$H$256,7,FALSE)</f>
        <v>#N/A</v>
      </c>
      <c r="G59" s="12" t="e">
        <f>VLOOKUP(D59,Datos!$A$1:$H$256,8,FALSE)</f>
        <v>#N/A</v>
      </c>
      <c r="H59" s="12" t="s">
        <v>38</v>
      </c>
      <c r="I59" s="12" t="s">
        <v>20</v>
      </c>
      <c r="J59" s="12" t="s">
        <v>42</v>
      </c>
      <c r="K59" s="12" t="s">
        <v>90</v>
      </c>
      <c r="L59" s="12">
        <v>6</v>
      </c>
      <c r="M59" s="13">
        <f t="shared" si="1"/>
        <v>0.24</v>
      </c>
      <c r="N59" s="12">
        <v>8</v>
      </c>
      <c r="O59" s="13">
        <f t="shared" si="2"/>
        <v>0.8</v>
      </c>
      <c r="P59" s="12">
        <v>17</v>
      </c>
      <c r="Q59" s="13">
        <f t="shared" si="3"/>
        <v>0.34</v>
      </c>
      <c r="R59" s="12">
        <v>3</v>
      </c>
      <c r="S59" s="13">
        <f t="shared" si="4"/>
        <v>0.2</v>
      </c>
      <c r="T59" s="12">
        <f t="shared" si="5"/>
        <v>34</v>
      </c>
      <c r="U59" s="13">
        <f t="shared" si="6"/>
        <v>0.34</v>
      </c>
      <c r="V59" s="13" t="str">
        <f t="shared" si="0"/>
        <v>INGRESÓ</v>
      </c>
      <c r="W59" s="13" t="s">
        <v>88</v>
      </c>
      <c r="X59" s="14">
        <v>45745</v>
      </c>
      <c r="Y59" s="13" t="s">
        <v>96</v>
      </c>
      <c r="Z59" s="13" t="e">
        <f>VLOOKUP(D59,Datos!$A$1:$C$256,3,FALSE)</f>
        <v>#N/A</v>
      </c>
    </row>
    <row r="60" spans="1:26" hidden="1" x14ac:dyDescent="0.25">
      <c r="A60" s="12">
        <v>59</v>
      </c>
      <c r="B60" s="12" t="e">
        <f>VLOOKUP(D60,Datos!$A$1:$H$256,4,FALSE)</f>
        <v>#N/A</v>
      </c>
      <c r="C60" s="12" t="e">
        <f>VLOOKUP(D60,Datos!$A$1:$H$256,5,FALSE)</f>
        <v>#N/A</v>
      </c>
      <c r="D60" s="12">
        <v>72624795</v>
      </c>
      <c r="E60" s="12" t="e">
        <f>VLOOKUP(D60,Datos!$A$1:$H$256,6,FALSE)</f>
        <v>#N/A</v>
      </c>
      <c r="F60" s="12" t="e">
        <f>VLOOKUP(D60,Datos!$A$1:$H$256,7,FALSE)</f>
        <v>#N/A</v>
      </c>
      <c r="G60" s="12" t="e">
        <f>VLOOKUP(D60,Datos!$A$1:$H$256,8,FALSE)</f>
        <v>#N/A</v>
      </c>
      <c r="H60" s="12" t="s">
        <v>38</v>
      </c>
      <c r="I60" s="12" t="s">
        <v>97</v>
      </c>
      <c r="J60" s="12" t="s">
        <v>42</v>
      </c>
      <c r="K60" s="12" t="s">
        <v>90</v>
      </c>
      <c r="L60" s="12">
        <v>8</v>
      </c>
      <c r="M60" s="13">
        <f t="shared" si="1"/>
        <v>0.32</v>
      </c>
      <c r="N60" s="12">
        <v>7</v>
      </c>
      <c r="O60" s="13">
        <f t="shared" si="2"/>
        <v>0.7</v>
      </c>
      <c r="P60" s="12">
        <v>14</v>
      </c>
      <c r="Q60" s="13">
        <f t="shared" si="3"/>
        <v>0.28000000000000003</v>
      </c>
      <c r="R60" s="12">
        <v>3</v>
      </c>
      <c r="S60" s="13">
        <f t="shared" si="4"/>
        <v>0.2</v>
      </c>
      <c r="T60" s="12">
        <f t="shared" si="5"/>
        <v>32</v>
      </c>
      <c r="U60" s="13">
        <f t="shared" si="6"/>
        <v>0.32</v>
      </c>
      <c r="V60" s="13" t="str">
        <f t="shared" si="0"/>
        <v>INGRESÓ</v>
      </c>
      <c r="W60" s="13" t="s">
        <v>88</v>
      </c>
      <c r="X60" s="14">
        <v>45745</v>
      </c>
      <c r="Y60" s="13" t="s">
        <v>96</v>
      </c>
      <c r="Z60" s="13" t="e">
        <f>VLOOKUP(D60,Datos!$A$1:$C$256,3,FALSE)</f>
        <v>#N/A</v>
      </c>
    </row>
    <row r="61" spans="1:26" hidden="1" x14ac:dyDescent="0.25">
      <c r="A61" s="12">
        <v>60</v>
      </c>
      <c r="B61" s="12" t="e">
        <f>VLOOKUP(D61,Datos!$A$1:$H$256,4,FALSE)</f>
        <v>#N/A</v>
      </c>
      <c r="C61" s="12" t="e">
        <f>VLOOKUP(D61,Datos!$A$1:$H$256,5,FALSE)</f>
        <v>#N/A</v>
      </c>
      <c r="D61" s="12">
        <v>60532877</v>
      </c>
      <c r="E61" s="12" t="e">
        <f>VLOOKUP(D61,Datos!$A$1:$H$256,6,FALSE)</f>
        <v>#N/A</v>
      </c>
      <c r="F61" s="12" t="e">
        <f>VLOOKUP(D61,Datos!$A$1:$H$256,7,FALSE)</f>
        <v>#N/A</v>
      </c>
      <c r="G61" s="12" t="e">
        <f>VLOOKUP(D61,Datos!$A$1:$H$256,8,FALSE)</f>
        <v>#N/A</v>
      </c>
      <c r="H61" s="12" t="s">
        <v>38</v>
      </c>
      <c r="I61" s="12" t="s">
        <v>55</v>
      </c>
      <c r="J61" s="12" t="s">
        <v>42</v>
      </c>
      <c r="K61" s="12" t="s">
        <v>90</v>
      </c>
      <c r="L61" s="12">
        <v>11</v>
      </c>
      <c r="M61" s="13">
        <f t="shared" si="1"/>
        <v>0.44</v>
      </c>
      <c r="N61" s="12">
        <v>10</v>
      </c>
      <c r="O61" s="13">
        <f t="shared" si="2"/>
        <v>1</v>
      </c>
      <c r="P61" s="12">
        <v>18</v>
      </c>
      <c r="Q61" s="13">
        <f t="shared" si="3"/>
        <v>0.36</v>
      </c>
      <c r="R61" s="12">
        <v>7</v>
      </c>
      <c r="S61" s="13">
        <f t="shared" si="4"/>
        <v>0.46666666666666667</v>
      </c>
      <c r="T61" s="12">
        <f t="shared" si="5"/>
        <v>46</v>
      </c>
      <c r="U61" s="13">
        <f t="shared" si="6"/>
        <v>0.46</v>
      </c>
      <c r="V61" s="13" t="str">
        <f t="shared" si="0"/>
        <v>INGRESÓ</v>
      </c>
      <c r="W61" s="13" t="s">
        <v>88</v>
      </c>
      <c r="X61" s="14">
        <v>45745</v>
      </c>
      <c r="Y61" s="13" t="s">
        <v>96</v>
      </c>
      <c r="Z61" s="13" t="e">
        <f>VLOOKUP(D61,Datos!$A$1:$C$256,3,FALSE)</f>
        <v>#N/A</v>
      </c>
    </row>
    <row r="62" spans="1:26" hidden="1" x14ac:dyDescent="0.25">
      <c r="A62" s="12">
        <v>61</v>
      </c>
      <c r="B62" s="12" t="e">
        <f>VLOOKUP(D62,Datos!$A$1:$H$256,4,FALSE)</f>
        <v>#N/A</v>
      </c>
      <c r="C62" s="12" t="e">
        <f>VLOOKUP(D62,Datos!$A$1:$H$256,5,FALSE)</f>
        <v>#N/A</v>
      </c>
      <c r="D62" s="12">
        <v>60489803</v>
      </c>
      <c r="E62" s="12" t="e">
        <f>VLOOKUP(D62,Datos!$A$1:$H$256,6,FALSE)</f>
        <v>#N/A</v>
      </c>
      <c r="F62" s="12" t="e">
        <f>VLOOKUP(D62,Datos!$A$1:$H$256,7,FALSE)</f>
        <v>#N/A</v>
      </c>
      <c r="G62" s="12" t="e">
        <f>VLOOKUP(D62,Datos!$A$1:$H$256,8,FALSE)</f>
        <v>#N/A</v>
      </c>
      <c r="H62" s="12" t="s">
        <v>38</v>
      </c>
      <c r="I62" s="12" t="s">
        <v>98</v>
      </c>
      <c r="J62" s="12" t="s">
        <v>42</v>
      </c>
      <c r="K62" s="12" t="s">
        <v>90</v>
      </c>
      <c r="L62" s="12">
        <v>9</v>
      </c>
      <c r="M62" s="13">
        <f t="shared" si="1"/>
        <v>0.36</v>
      </c>
      <c r="N62" s="12">
        <v>3</v>
      </c>
      <c r="O62" s="13">
        <f t="shared" si="2"/>
        <v>0.3</v>
      </c>
      <c r="P62" s="12">
        <v>6</v>
      </c>
      <c r="Q62" s="13">
        <f t="shared" si="3"/>
        <v>0.12</v>
      </c>
      <c r="R62" s="12">
        <v>2</v>
      </c>
      <c r="S62" s="13">
        <f t="shared" si="4"/>
        <v>0.13333333333333333</v>
      </c>
      <c r="T62" s="12">
        <f t="shared" si="5"/>
        <v>20</v>
      </c>
      <c r="U62" s="13">
        <f t="shared" si="6"/>
        <v>0.2</v>
      </c>
      <c r="V62" s="13" t="str">
        <f t="shared" si="0"/>
        <v>INGRESÓ</v>
      </c>
      <c r="W62" s="13" t="s">
        <v>88</v>
      </c>
      <c r="X62" s="14">
        <v>45745</v>
      </c>
      <c r="Y62" s="13" t="s">
        <v>96</v>
      </c>
      <c r="Z62" s="13" t="e">
        <f>VLOOKUP(D62,Datos!$A$1:$C$256,3,FALSE)</f>
        <v>#N/A</v>
      </c>
    </row>
    <row r="63" spans="1:26" hidden="1" x14ac:dyDescent="0.25">
      <c r="A63" s="12">
        <v>62</v>
      </c>
      <c r="B63" s="12" t="e">
        <f>VLOOKUP(D63,Datos!$A$1:$H$256,4,FALSE)</f>
        <v>#N/A</v>
      </c>
      <c r="C63" s="12" t="e">
        <f>VLOOKUP(D63,Datos!$A$1:$H$256,5,FALSE)</f>
        <v>#N/A</v>
      </c>
      <c r="D63" s="12">
        <v>61200034</v>
      </c>
      <c r="E63" s="12" t="e">
        <f>VLOOKUP(D63,Datos!$A$1:$H$256,6,FALSE)</f>
        <v>#N/A</v>
      </c>
      <c r="F63" s="12" t="e">
        <f>VLOOKUP(D63,Datos!$A$1:$H$256,7,FALSE)</f>
        <v>#N/A</v>
      </c>
      <c r="G63" s="12" t="e">
        <f>VLOOKUP(D63,Datos!$A$1:$H$256,8,FALSE)</f>
        <v>#N/A</v>
      </c>
      <c r="H63" s="12" t="s">
        <v>38</v>
      </c>
      <c r="I63" s="12" t="s">
        <v>98</v>
      </c>
      <c r="J63" s="12" t="s">
        <v>42</v>
      </c>
      <c r="K63" s="12" t="s">
        <v>90</v>
      </c>
      <c r="L63" s="12">
        <v>6</v>
      </c>
      <c r="M63" s="13">
        <f t="shared" si="1"/>
        <v>0.24</v>
      </c>
      <c r="N63" s="12">
        <v>10</v>
      </c>
      <c r="O63" s="13">
        <f t="shared" si="2"/>
        <v>1</v>
      </c>
      <c r="P63" s="12">
        <v>17</v>
      </c>
      <c r="Q63" s="13">
        <f t="shared" si="3"/>
        <v>0.34</v>
      </c>
      <c r="R63" s="12">
        <v>6</v>
      </c>
      <c r="S63" s="13">
        <f t="shared" si="4"/>
        <v>0.4</v>
      </c>
      <c r="T63" s="12">
        <f t="shared" si="5"/>
        <v>39</v>
      </c>
      <c r="U63" s="13">
        <f t="shared" si="6"/>
        <v>0.39</v>
      </c>
      <c r="V63" s="13" t="str">
        <f t="shared" si="0"/>
        <v>INGRESÓ</v>
      </c>
      <c r="W63" s="13" t="s">
        <v>88</v>
      </c>
      <c r="X63" s="14">
        <v>45745</v>
      </c>
      <c r="Y63" s="13" t="s">
        <v>96</v>
      </c>
      <c r="Z63" s="13" t="e">
        <f>VLOOKUP(D63,Datos!$A$1:$C$256,3,FALSE)</f>
        <v>#N/A</v>
      </c>
    </row>
    <row r="64" spans="1:26" hidden="1" x14ac:dyDescent="0.25">
      <c r="A64" s="12">
        <v>63</v>
      </c>
      <c r="B64" s="12" t="e">
        <f>VLOOKUP(D64,Datos!$A$1:$H$256,4,FALSE)</f>
        <v>#N/A</v>
      </c>
      <c r="C64" s="12" t="e">
        <f>VLOOKUP(D64,Datos!$A$1:$H$256,5,FALSE)</f>
        <v>#N/A</v>
      </c>
      <c r="D64" s="12">
        <v>60886847</v>
      </c>
      <c r="E64" s="12" t="e">
        <f>VLOOKUP(D64,Datos!$A$1:$H$256,6,FALSE)</f>
        <v>#N/A</v>
      </c>
      <c r="F64" s="12" t="e">
        <f>VLOOKUP(D64,Datos!$A$1:$H$256,7,FALSE)</f>
        <v>#N/A</v>
      </c>
      <c r="G64" s="12" t="e">
        <f>VLOOKUP(D64,Datos!$A$1:$H$256,8,FALSE)</f>
        <v>#N/A</v>
      </c>
      <c r="H64" s="12" t="s">
        <v>38</v>
      </c>
      <c r="I64" s="12" t="s">
        <v>97</v>
      </c>
      <c r="J64" s="12" t="s">
        <v>42</v>
      </c>
      <c r="K64" s="12" t="s">
        <v>90</v>
      </c>
      <c r="L64" s="12">
        <v>10</v>
      </c>
      <c r="M64" s="13">
        <f t="shared" si="1"/>
        <v>0.4</v>
      </c>
      <c r="N64" s="12">
        <v>8</v>
      </c>
      <c r="O64" s="13">
        <f t="shared" si="2"/>
        <v>0.8</v>
      </c>
      <c r="P64" s="12">
        <v>17</v>
      </c>
      <c r="Q64" s="13">
        <f t="shared" si="3"/>
        <v>0.34</v>
      </c>
      <c r="R64" s="12">
        <v>3</v>
      </c>
      <c r="S64" s="13">
        <f t="shared" si="4"/>
        <v>0.2</v>
      </c>
      <c r="T64" s="12">
        <f t="shared" si="5"/>
        <v>38</v>
      </c>
      <c r="U64" s="13">
        <f t="shared" si="6"/>
        <v>0.38</v>
      </c>
      <c r="V64" s="13" t="str">
        <f t="shared" si="0"/>
        <v>INGRESÓ</v>
      </c>
      <c r="W64" s="13" t="s">
        <v>88</v>
      </c>
      <c r="X64" s="14">
        <v>45745</v>
      </c>
      <c r="Y64" s="13" t="s">
        <v>96</v>
      </c>
      <c r="Z64" s="13" t="e">
        <f>VLOOKUP(D64,Datos!$A$1:$C$256,3,FALSE)</f>
        <v>#N/A</v>
      </c>
    </row>
    <row r="65" spans="1:26" hidden="1" x14ac:dyDescent="0.25">
      <c r="A65" s="12">
        <v>64</v>
      </c>
      <c r="B65" s="12" t="e">
        <f>VLOOKUP(D65,Datos!$A$1:$H$256,4,FALSE)</f>
        <v>#N/A</v>
      </c>
      <c r="C65" s="12" t="e">
        <f>VLOOKUP(D65,Datos!$A$1:$H$256,5,FALSE)</f>
        <v>#N/A</v>
      </c>
      <c r="D65" s="12">
        <v>61298543</v>
      </c>
      <c r="E65" s="12" t="e">
        <f>VLOOKUP(D65,Datos!$A$1:$H$256,6,FALSE)</f>
        <v>#N/A</v>
      </c>
      <c r="F65" s="12" t="e">
        <f>VLOOKUP(D65,Datos!$A$1:$H$256,7,FALSE)</f>
        <v>#N/A</v>
      </c>
      <c r="G65" s="12" t="e">
        <f>VLOOKUP(D65,Datos!$A$1:$H$256,8,FALSE)</f>
        <v>#N/A</v>
      </c>
      <c r="H65" s="12" t="s">
        <v>38</v>
      </c>
      <c r="I65" s="12" t="s">
        <v>97</v>
      </c>
      <c r="J65" s="12" t="s">
        <v>42</v>
      </c>
      <c r="K65" s="12" t="s">
        <v>90</v>
      </c>
      <c r="L65" s="12">
        <v>10</v>
      </c>
      <c r="M65" s="13">
        <f t="shared" si="1"/>
        <v>0.4</v>
      </c>
      <c r="N65" s="12">
        <v>6</v>
      </c>
      <c r="O65" s="13">
        <f t="shared" si="2"/>
        <v>0.6</v>
      </c>
      <c r="P65" s="12">
        <v>23</v>
      </c>
      <c r="Q65" s="13">
        <f t="shared" si="3"/>
        <v>0.46</v>
      </c>
      <c r="R65" s="12">
        <v>4</v>
      </c>
      <c r="S65" s="13">
        <f t="shared" si="4"/>
        <v>0.26666666666666666</v>
      </c>
      <c r="T65" s="12">
        <f t="shared" si="5"/>
        <v>43</v>
      </c>
      <c r="U65" s="13">
        <f t="shared" si="6"/>
        <v>0.43</v>
      </c>
      <c r="V65" s="13" t="str">
        <f t="shared" si="0"/>
        <v>INGRESÓ</v>
      </c>
      <c r="W65" s="13" t="s">
        <v>88</v>
      </c>
      <c r="X65" s="14">
        <v>45745</v>
      </c>
      <c r="Y65" s="13" t="s">
        <v>96</v>
      </c>
      <c r="Z65" s="13" t="e">
        <f>VLOOKUP(D65,Datos!$A$1:$C$256,3,FALSE)</f>
        <v>#N/A</v>
      </c>
    </row>
    <row r="66" spans="1:26" hidden="1" x14ac:dyDescent="0.25">
      <c r="A66" s="12">
        <v>65</v>
      </c>
      <c r="B66" s="12" t="e">
        <f>VLOOKUP(D66,Datos!$A$1:$H$256,4,FALSE)</f>
        <v>#N/A</v>
      </c>
      <c r="C66" s="12" t="e">
        <f>VLOOKUP(D66,Datos!$A$1:$H$256,5,FALSE)</f>
        <v>#N/A</v>
      </c>
      <c r="D66" s="12">
        <v>60661815</v>
      </c>
      <c r="E66" s="12" t="e">
        <f>VLOOKUP(D66,Datos!$A$1:$H$256,6,FALSE)</f>
        <v>#N/A</v>
      </c>
      <c r="F66" s="12" t="e">
        <f>VLOOKUP(D66,Datos!$A$1:$H$256,7,FALSE)</f>
        <v>#N/A</v>
      </c>
      <c r="G66" s="12" t="e">
        <f>VLOOKUP(D66,Datos!$A$1:$H$256,8,FALSE)</f>
        <v>#N/A</v>
      </c>
      <c r="H66" s="12" t="s">
        <v>38</v>
      </c>
      <c r="I66" s="12" t="s">
        <v>97</v>
      </c>
      <c r="J66" s="12" t="s">
        <v>42</v>
      </c>
      <c r="K66" s="12" t="s">
        <v>90</v>
      </c>
      <c r="L66" s="12">
        <v>12</v>
      </c>
      <c r="M66" s="13">
        <f t="shared" si="1"/>
        <v>0.48</v>
      </c>
      <c r="N66" s="12">
        <v>9</v>
      </c>
      <c r="O66" s="13">
        <f t="shared" si="2"/>
        <v>0.9</v>
      </c>
      <c r="P66" s="12">
        <v>20</v>
      </c>
      <c r="Q66" s="13">
        <f t="shared" si="3"/>
        <v>0.4</v>
      </c>
      <c r="R66" s="12">
        <v>5</v>
      </c>
      <c r="S66" s="13">
        <f t="shared" si="4"/>
        <v>0.33333333333333331</v>
      </c>
      <c r="T66" s="12">
        <f t="shared" si="5"/>
        <v>46</v>
      </c>
      <c r="U66" s="13">
        <f t="shared" si="6"/>
        <v>0.46</v>
      </c>
      <c r="V66" s="13" t="str">
        <f t="shared" ref="V66:V69" si="7">IF(U66=0,"NO INGRESÓ","INGRESÓ")</f>
        <v>INGRESÓ</v>
      </c>
      <c r="W66" s="13" t="s">
        <v>88</v>
      </c>
      <c r="X66" s="14">
        <v>45745</v>
      </c>
      <c r="Y66" s="13" t="s">
        <v>96</v>
      </c>
      <c r="Z66" s="13" t="e">
        <f>VLOOKUP(D66,Datos!$A$1:$C$256,3,FALSE)</f>
        <v>#N/A</v>
      </c>
    </row>
    <row r="67" spans="1:26" hidden="1" x14ac:dyDescent="0.25">
      <c r="A67" s="12">
        <v>66</v>
      </c>
      <c r="B67" s="12" t="e">
        <f>VLOOKUP(D67,Datos!$A$1:$H$256,4,FALSE)</f>
        <v>#N/A</v>
      </c>
      <c r="C67" s="12" t="e">
        <f>VLOOKUP(D67,Datos!$A$1:$H$256,5,FALSE)</f>
        <v>#N/A</v>
      </c>
      <c r="D67" s="12">
        <v>61247436</v>
      </c>
      <c r="E67" s="12" t="e">
        <f>VLOOKUP(D67,Datos!$A$1:$H$256,6,FALSE)</f>
        <v>#N/A</v>
      </c>
      <c r="F67" s="12" t="e">
        <f>VLOOKUP(D67,Datos!$A$1:$H$256,7,FALSE)</f>
        <v>#N/A</v>
      </c>
      <c r="G67" s="12" t="e">
        <f>VLOOKUP(D67,Datos!$A$1:$H$256,8,FALSE)</f>
        <v>#N/A</v>
      </c>
      <c r="H67" s="12" t="s">
        <v>38</v>
      </c>
      <c r="I67" s="12" t="s">
        <v>97</v>
      </c>
      <c r="J67" s="12" t="s">
        <v>42</v>
      </c>
      <c r="K67" s="12" t="s">
        <v>90</v>
      </c>
      <c r="L67" s="12">
        <v>4</v>
      </c>
      <c r="M67" s="13">
        <f t="shared" ref="M67:M69" si="8">IF(L67="","",(L67/25))</f>
        <v>0.16</v>
      </c>
      <c r="N67" s="12">
        <v>7</v>
      </c>
      <c r="O67" s="13">
        <f t="shared" ref="O67:O69" si="9">IF(N67="","",(N67/10))</f>
        <v>0.7</v>
      </c>
      <c r="P67" s="12">
        <v>14</v>
      </c>
      <c r="Q67" s="13">
        <f t="shared" ref="Q67:Q69" si="10">IF(P67="","",(P67/50))</f>
        <v>0.28000000000000003</v>
      </c>
      <c r="R67" s="12">
        <v>3</v>
      </c>
      <c r="S67" s="13">
        <f t="shared" ref="S67:S69" si="11">IF(R67="","",(R67/15))</f>
        <v>0.2</v>
      </c>
      <c r="T67" s="12">
        <f t="shared" ref="T67:T69" si="12">L67+N67+P67+R67</f>
        <v>28</v>
      </c>
      <c r="U67" s="13">
        <f t="shared" ref="U67:U69" si="13">IF(T67="","",(T67/100))</f>
        <v>0.28000000000000003</v>
      </c>
      <c r="V67" s="13" t="str">
        <f t="shared" si="7"/>
        <v>INGRESÓ</v>
      </c>
      <c r="W67" s="13" t="s">
        <v>88</v>
      </c>
      <c r="X67" s="14">
        <v>45745</v>
      </c>
      <c r="Y67" s="13" t="s">
        <v>96</v>
      </c>
      <c r="Z67" s="13" t="e">
        <f>VLOOKUP(D67,Datos!$A$1:$C$256,3,FALSE)</f>
        <v>#N/A</v>
      </c>
    </row>
    <row r="68" spans="1:26" hidden="1" x14ac:dyDescent="0.25">
      <c r="A68" s="12">
        <v>67</v>
      </c>
      <c r="B68" s="12" t="e">
        <f>VLOOKUP(D68,Datos!$A$1:$H$256,4,FALSE)</f>
        <v>#N/A</v>
      </c>
      <c r="C68" s="12" t="e">
        <f>VLOOKUP(D68,Datos!$A$1:$H$256,5,FALSE)</f>
        <v>#N/A</v>
      </c>
      <c r="D68" s="12">
        <v>61128280</v>
      </c>
      <c r="E68" s="12" t="e">
        <f>VLOOKUP(D68,Datos!$A$1:$H$256,6,FALSE)</f>
        <v>#N/A</v>
      </c>
      <c r="F68" s="12" t="e">
        <f>VLOOKUP(D68,Datos!$A$1:$H$256,7,FALSE)</f>
        <v>#N/A</v>
      </c>
      <c r="G68" s="12" t="e">
        <f>VLOOKUP(D68,Datos!$A$1:$H$256,8,FALSE)</f>
        <v>#N/A</v>
      </c>
      <c r="H68" s="12" t="s">
        <v>38</v>
      </c>
      <c r="I68" s="12" t="s">
        <v>98</v>
      </c>
      <c r="J68" s="12" t="s">
        <v>42</v>
      </c>
      <c r="K68" s="12" t="s">
        <v>90</v>
      </c>
      <c r="L68" s="12">
        <v>8</v>
      </c>
      <c r="M68" s="13">
        <f t="shared" si="8"/>
        <v>0.32</v>
      </c>
      <c r="N68" s="12">
        <v>10</v>
      </c>
      <c r="O68" s="13">
        <f t="shared" si="9"/>
        <v>1</v>
      </c>
      <c r="P68" s="12">
        <v>15</v>
      </c>
      <c r="Q68" s="13">
        <f t="shared" si="10"/>
        <v>0.3</v>
      </c>
      <c r="R68" s="12">
        <v>2</v>
      </c>
      <c r="S68" s="13">
        <f t="shared" si="11"/>
        <v>0.13333333333333333</v>
      </c>
      <c r="T68" s="12">
        <f t="shared" si="12"/>
        <v>35</v>
      </c>
      <c r="U68" s="13">
        <f t="shared" si="13"/>
        <v>0.35</v>
      </c>
      <c r="V68" s="13" t="str">
        <f t="shared" si="7"/>
        <v>INGRESÓ</v>
      </c>
      <c r="W68" s="13" t="s">
        <v>88</v>
      </c>
      <c r="X68" s="14">
        <v>45745</v>
      </c>
      <c r="Y68" s="13" t="s">
        <v>96</v>
      </c>
      <c r="Z68" s="13" t="e">
        <f>VLOOKUP(D68,Datos!$A$1:$C$256,3,FALSE)</f>
        <v>#N/A</v>
      </c>
    </row>
    <row r="69" spans="1:26" hidden="1" x14ac:dyDescent="0.25">
      <c r="A69" s="12">
        <v>68</v>
      </c>
      <c r="B69" s="12" t="e">
        <f>VLOOKUP(D69,Datos!$A$1:$H$256,4,FALSE)</f>
        <v>#N/A</v>
      </c>
      <c r="C69" s="12" t="e">
        <f>VLOOKUP(D69,Datos!$A$1:$H$256,5,FALSE)</f>
        <v>#N/A</v>
      </c>
      <c r="D69" s="12">
        <v>60886936</v>
      </c>
      <c r="E69" s="12" t="e">
        <f>VLOOKUP(D69,Datos!$A$1:$H$256,6,FALSE)</f>
        <v>#N/A</v>
      </c>
      <c r="F69" s="12" t="e">
        <f>VLOOKUP(D69,Datos!$A$1:$H$256,7,FALSE)</f>
        <v>#N/A</v>
      </c>
      <c r="G69" s="12" t="e">
        <f>VLOOKUP(D69,Datos!$A$1:$H$256,8,FALSE)</f>
        <v>#N/A</v>
      </c>
      <c r="H69" s="12" t="s">
        <v>38</v>
      </c>
      <c r="I69" s="12" t="s">
        <v>97</v>
      </c>
      <c r="J69" s="12" t="s">
        <v>42</v>
      </c>
      <c r="K69" s="12" t="s">
        <v>90</v>
      </c>
      <c r="L69" s="12">
        <v>6</v>
      </c>
      <c r="M69" s="13">
        <f t="shared" si="8"/>
        <v>0.24</v>
      </c>
      <c r="N69" s="12">
        <v>7</v>
      </c>
      <c r="O69" s="13">
        <f t="shared" si="9"/>
        <v>0.7</v>
      </c>
      <c r="P69" s="12">
        <v>12</v>
      </c>
      <c r="Q69" s="13">
        <f t="shared" si="10"/>
        <v>0.24</v>
      </c>
      <c r="R69" s="12">
        <v>3</v>
      </c>
      <c r="S69" s="13">
        <f t="shared" si="11"/>
        <v>0.2</v>
      </c>
      <c r="T69" s="12">
        <f t="shared" si="12"/>
        <v>28</v>
      </c>
      <c r="U69" s="13">
        <f t="shared" si="13"/>
        <v>0.28000000000000003</v>
      </c>
      <c r="V69" s="13" t="str">
        <f t="shared" si="7"/>
        <v>INGRESÓ</v>
      </c>
      <c r="W69" s="13" t="s">
        <v>88</v>
      </c>
      <c r="X69" s="14">
        <v>45745</v>
      </c>
      <c r="Y69" s="13" t="s">
        <v>96</v>
      </c>
      <c r="Z69" s="13" t="e">
        <f>VLOOKUP(D69,Datos!$A$1:$C$256,3,FALSE)</f>
        <v>#N/A</v>
      </c>
    </row>
    <row r="70" spans="1:26" hidden="1" x14ac:dyDescent="0.25">
      <c r="A70" s="4">
        <v>1</v>
      </c>
      <c r="B70" s="12" t="e">
        <f>VLOOKUP(D70,Datos!$A$1:$H$256,4,FALSE)</f>
        <v>#N/A</v>
      </c>
      <c r="C70" s="12" t="e">
        <f>VLOOKUP(D70,Datos!$A$1:$H$256,5,FALSE)</f>
        <v>#N/A</v>
      </c>
      <c r="D70" s="4">
        <v>47516374</v>
      </c>
      <c r="E70" s="12" t="e">
        <f>VLOOKUP(D70,Datos!$A$1:$H$256,6,FALSE)</f>
        <v>#N/A</v>
      </c>
      <c r="F70" s="12" t="e">
        <f>VLOOKUP(D70,Datos!$A$1:$H$256,7,FALSE)</f>
        <v>#N/A</v>
      </c>
      <c r="G70" s="12" t="e">
        <f>VLOOKUP(D70,Datos!$A$1:$H$256,8,FALSE)</f>
        <v>#N/A</v>
      </c>
      <c r="H70" s="4" t="s">
        <v>39</v>
      </c>
      <c r="I70" s="4" t="s">
        <v>99</v>
      </c>
      <c r="J70" s="12" t="s">
        <v>42</v>
      </c>
      <c r="K70" s="4" t="s">
        <v>90</v>
      </c>
      <c r="L70" s="4">
        <v>16</v>
      </c>
      <c r="M70" s="11">
        <f>IF(L70="","",(L70/25))</f>
        <v>0.64</v>
      </c>
      <c r="N70" s="4">
        <v>8</v>
      </c>
      <c r="O70" s="11">
        <f>IF(N70="","",(N70/10))</f>
        <v>0.8</v>
      </c>
      <c r="P70" s="4">
        <v>11</v>
      </c>
      <c r="Q70" s="11">
        <f>IF(P70="","",(P70/35))</f>
        <v>0.31428571428571428</v>
      </c>
      <c r="R70" s="4">
        <v>9</v>
      </c>
      <c r="S70" s="11">
        <f>IF(R70="","",(R70/30))</f>
        <v>0.3</v>
      </c>
      <c r="T70" s="4">
        <f>SUM(L70,N70,P70,R70)</f>
        <v>44</v>
      </c>
      <c r="U70" s="11">
        <f>IF(T70="","",(T70/100))</f>
        <v>0.44</v>
      </c>
      <c r="V70" s="13" t="str">
        <f>IF(U70=0,"NO INGRESÓ","INGRESÓ")</f>
        <v>INGRESÓ</v>
      </c>
      <c r="W70" s="13" t="s">
        <v>88</v>
      </c>
      <c r="X70" s="14">
        <v>45745</v>
      </c>
      <c r="Y70" s="13" t="s">
        <v>96</v>
      </c>
      <c r="Z70" s="13" t="e">
        <f>VLOOKUP(D70,Datos!$A$1:$C$256,3,FALSE)</f>
        <v>#N/A</v>
      </c>
    </row>
    <row r="71" spans="1:26" hidden="1" x14ac:dyDescent="0.25">
      <c r="A71" s="4">
        <v>2</v>
      </c>
      <c r="B71" s="12" t="e">
        <f>VLOOKUP(D71,Datos!$A$1:$H$256,4,FALSE)</f>
        <v>#N/A</v>
      </c>
      <c r="C71" s="12" t="e">
        <f>VLOOKUP(D71,Datos!$A$1:$H$256,5,FALSE)</f>
        <v>#N/A</v>
      </c>
      <c r="D71" s="4">
        <v>61247507</v>
      </c>
      <c r="E71" s="12" t="e">
        <f>VLOOKUP(D71,Datos!$A$1:$H$256,6,FALSE)</f>
        <v>#N/A</v>
      </c>
      <c r="F71" s="12" t="e">
        <f>VLOOKUP(D71,Datos!$A$1:$H$256,7,FALSE)</f>
        <v>#N/A</v>
      </c>
      <c r="G71" s="12" t="e">
        <f>VLOOKUP(D71,Datos!$A$1:$H$256,8,FALSE)</f>
        <v>#N/A</v>
      </c>
      <c r="H71" s="4" t="s">
        <v>39</v>
      </c>
      <c r="I71" s="4" t="s">
        <v>27</v>
      </c>
      <c r="J71" s="12" t="s">
        <v>42</v>
      </c>
      <c r="K71" s="4" t="s">
        <v>90</v>
      </c>
      <c r="L71" s="4">
        <v>7</v>
      </c>
      <c r="M71" s="11">
        <f t="shared" ref="M71:M134" si="14">IF(L71="","",(L71/25))</f>
        <v>0.28000000000000003</v>
      </c>
      <c r="N71" s="4">
        <v>9</v>
      </c>
      <c r="O71" s="11">
        <f t="shared" ref="O71:O134" si="15">IF(N71="","",(N71/10))</f>
        <v>0.9</v>
      </c>
      <c r="P71" s="4">
        <v>12</v>
      </c>
      <c r="Q71" s="11">
        <f t="shared" ref="Q71:Q134" si="16">IF(P71="","",(P71/35))</f>
        <v>0.34285714285714286</v>
      </c>
      <c r="R71" s="4">
        <v>6</v>
      </c>
      <c r="S71" s="11">
        <f t="shared" ref="S71:S134" si="17">IF(R71="","",(R71/30))</f>
        <v>0.2</v>
      </c>
      <c r="T71" s="4">
        <f t="shared" ref="T71:T134" si="18">SUM(L71,N71,P71,R71)</f>
        <v>34</v>
      </c>
      <c r="U71" s="11">
        <f t="shared" ref="U71:U134" si="19">IF(T71="","",(T71/100))</f>
        <v>0.34</v>
      </c>
      <c r="V71" s="13" t="str">
        <f t="shared" ref="V71:V134" si="20">IF(U71=0,"NO INGRESÓ","INGRESÓ")</f>
        <v>INGRESÓ</v>
      </c>
      <c r="W71" s="13" t="s">
        <v>88</v>
      </c>
      <c r="X71" s="14">
        <v>45745</v>
      </c>
      <c r="Y71" s="13" t="s">
        <v>96</v>
      </c>
      <c r="Z71" s="13" t="e">
        <f>VLOOKUP(D71,Datos!$A$1:$C$256,3,FALSE)</f>
        <v>#N/A</v>
      </c>
    </row>
    <row r="72" spans="1:26" hidden="1" x14ac:dyDescent="0.25">
      <c r="A72" s="4">
        <v>3</v>
      </c>
      <c r="B72" s="12" t="e">
        <f>VLOOKUP(D72,Datos!$A$1:$H$256,4,FALSE)</f>
        <v>#N/A</v>
      </c>
      <c r="C72" s="12" t="e">
        <f>VLOOKUP(D72,Datos!$A$1:$H$256,5,FALSE)</f>
        <v>#N/A</v>
      </c>
      <c r="D72" s="4">
        <v>40610052</v>
      </c>
      <c r="E72" s="12" t="e">
        <f>VLOOKUP(D72,Datos!$A$1:$H$256,6,FALSE)</f>
        <v>#N/A</v>
      </c>
      <c r="F72" s="12" t="e">
        <f>VLOOKUP(D72,Datos!$A$1:$H$256,7,FALSE)</f>
        <v>#N/A</v>
      </c>
      <c r="G72" s="12" t="e">
        <f>VLOOKUP(D72,Datos!$A$1:$H$256,8,FALSE)</f>
        <v>#N/A</v>
      </c>
      <c r="H72" s="4" t="s">
        <v>39</v>
      </c>
      <c r="I72" s="4" t="s">
        <v>99</v>
      </c>
      <c r="J72" s="12" t="s">
        <v>42</v>
      </c>
      <c r="K72" s="4" t="s">
        <v>90</v>
      </c>
      <c r="L72" s="4">
        <v>11</v>
      </c>
      <c r="M72" s="11">
        <f t="shared" si="14"/>
        <v>0.44</v>
      </c>
      <c r="N72" s="4">
        <v>9</v>
      </c>
      <c r="O72" s="11">
        <f t="shared" si="15"/>
        <v>0.9</v>
      </c>
      <c r="P72" s="4">
        <v>12</v>
      </c>
      <c r="Q72" s="11">
        <f t="shared" si="16"/>
        <v>0.34285714285714286</v>
      </c>
      <c r="R72" s="4">
        <v>14</v>
      </c>
      <c r="S72" s="11">
        <f t="shared" si="17"/>
        <v>0.46666666666666667</v>
      </c>
      <c r="T72" s="4">
        <f t="shared" si="18"/>
        <v>46</v>
      </c>
      <c r="U72" s="11">
        <f t="shared" si="19"/>
        <v>0.46</v>
      </c>
      <c r="V72" s="13" t="str">
        <f t="shared" si="20"/>
        <v>INGRESÓ</v>
      </c>
      <c r="W72" s="13" t="s">
        <v>88</v>
      </c>
      <c r="X72" s="14">
        <v>45745</v>
      </c>
      <c r="Y72" s="13" t="s">
        <v>96</v>
      </c>
      <c r="Z72" s="13" t="e">
        <f>VLOOKUP(D72,Datos!$A$1:$C$256,3,FALSE)</f>
        <v>#N/A</v>
      </c>
    </row>
    <row r="73" spans="1:26" x14ac:dyDescent="0.25">
      <c r="A73" s="4">
        <v>4</v>
      </c>
      <c r="B73" s="12" t="e">
        <f>VLOOKUP(D73,Datos!$A$1:$H$256,4,FALSE)</f>
        <v>#N/A</v>
      </c>
      <c r="C73" s="12" t="e">
        <f>VLOOKUP(D73,Datos!$A$1:$H$256,5,FALSE)</f>
        <v>#N/A</v>
      </c>
      <c r="D73" s="4">
        <v>77018151</v>
      </c>
      <c r="E73" s="12" t="e">
        <f>VLOOKUP(D73,Datos!$A$1:$H$256,6,FALSE)</f>
        <v>#N/A</v>
      </c>
      <c r="F73" s="12" t="e">
        <f>VLOOKUP(D73,Datos!$A$1:$H$256,7,FALSE)</f>
        <v>#N/A</v>
      </c>
      <c r="G73" s="12" t="e">
        <f>VLOOKUP(D73,Datos!$A$1:$H$256,8,FALSE)</f>
        <v>#N/A</v>
      </c>
      <c r="H73" s="4" t="s">
        <v>39</v>
      </c>
      <c r="I73" s="4" t="s">
        <v>30</v>
      </c>
      <c r="J73" s="12" t="s">
        <v>42</v>
      </c>
      <c r="K73" s="4" t="s">
        <v>90</v>
      </c>
      <c r="L73" s="4">
        <v>9</v>
      </c>
      <c r="M73" s="11">
        <f t="shared" si="14"/>
        <v>0.36</v>
      </c>
      <c r="N73" s="4">
        <v>7</v>
      </c>
      <c r="O73" s="11">
        <f t="shared" si="15"/>
        <v>0.7</v>
      </c>
      <c r="P73" s="4">
        <v>9</v>
      </c>
      <c r="Q73" s="11">
        <f t="shared" si="16"/>
        <v>0.25714285714285712</v>
      </c>
      <c r="R73" s="4">
        <v>5</v>
      </c>
      <c r="S73" s="11">
        <f t="shared" si="17"/>
        <v>0.16666666666666666</v>
      </c>
      <c r="T73" s="4">
        <f t="shared" si="18"/>
        <v>30</v>
      </c>
      <c r="U73" s="11">
        <f t="shared" si="19"/>
        <v>0.3</v>
      </c>
      <c r="V73" s="13" t="str">
        <f t="shared" si="20"/>
        <v>INGRESÓ</v>
      </c>
      <c r="W73" s="13" t="s">
        <v>88</v>
      </c>
      <c r="X73" s="14">
        <v>45745</v>
      </c>
      <c r="Y73" s="13" t="s">
        <v>96</v>
      </c>
      <c r="Z73" s="13" t="e">
        <f>VLOOKUP(D73,Datos!$A$1:$C$256,3,FALSE)</f>
        <v>#N/A</v>
      </c>
    </row>
    <row r="74" spans="1:26" x14ac:dyDescent="0.25">
      <c r="A74" s="4">
        <v>5</v>
      </c>
      <c r="B74" s="12" t="e">
        <f>VLOOKUP(D74,Datos!$A$1:$H$256,4,FALSE)</f>
        <v>#N/A</v>
      </c>
      <c r="C74" s="12" t="e">
        <f>VLOOKUP(D74,Datos!$A$1:$H$256,5,FALSE)</f>
        <v>#N/A</v>
      </c>
      <c r="D74" s="4">
        <v>61298402</v>
      </c>
      <c r="E74" s="12" t="e">
        <f>VLOOKUP(D74,Datos!$A$1:$H$256,6,FALSE)</f>
        <v>#N/A</v>
      </c>
      <c r="F74" s="12" t="e">
        <f>VLOOKUP(D74,Datos!$A$1:$H$256,7,FALSE)</f>
        <v>#N/A</v>
      </c>
      <c r="G74" s="12" t="e">
        <f>VLOOKUP(D74,Datos!$A$1:$H$256,8,FALSE)</f>
        <v>#N/A</v>
      </c>
      <c r="H74" s="4" t="s">
        <v>39</v>
      </c>
      <c r="I74" s="4" t="s">
        <v>30</v>
      </c>
      <c r="J74" s="12" t="s">
        <v>42</v>
      </c>
      <c r="K74" s="4" t="s">
        <v>90</v>
      </c>
      <c r="L74" s="4">
        <v>4</v>
      </c>
      <c r="M74" s="11">
        <f t="shared" si="14"/>
        <v>0.16</v>
      </c>
      <c r="N74" s="4">
        <v>9</v>
      </c>
      <c r="O74" s="11">
        <f t="shared" si="15"/>
        <v>0.9</v>
      </c>
      <c r="P74" s="4">
        <v>5</v>
      </c>
      <c r="Q74" s="11">
        <f t="shared" si="16"/>
        <v>0.14285714285714285</v>
      </c>
      <c r="R74" s="4">
        <v>7</v>
      </c>
      <c r="S74" s="11">
        <f t="shared" si="17"/>
        <v>0.23333333333333334</v>
      </c>
      <c r="T74" s="4">
        <f t="shared" si="18"/>
        <v>25</v>
      </c>
      <c r="U74" s="11">
        <f t="shared" si="19"/>
        <v>0.25</v>
      </c>
      <c r="V74" s="13" t="str">
        <f t="shared" si="20"/>
        <v>INGRESÓ</v>
      </c>
      <c r="W74" s="13" t="s">
        <v>88</v>
      </c>
      <c r="X74" s="14">
        <v>45745</v>
      </c>
      <c r="Y74" s="13" t="s">
        <v>96</v>
      </c>
      <c r="Z74" s="13" t="e">
        <f>VLOOKUP(D74,Datos!$A$1:$C$256,3,FALSE)</f>
        <v>#N/A</v>
      </c>
    </row>
    <row r="75" spans="1:26" x14ac:dyDescent="0.25">
      <c r="A75" s="4">
        <v>6</v>
      </c>
      <c r="B75" s="12" t="e">
        <f>VLOOKUP(D75,Datos!$A$1:$H$256,4,FALSE)</f>
        <v>#N/A</v>
      </c>
      <c r="C75" s="12" t="e">
        <f>VLOOKUP(D75,Datos!$A$1:$H$256,5,FALSE)</f>
        <v>#N/A</v>
      </c>
      <c r="D75" s="4">
        <v>45918946</v>
      </c>
      <c r="E75" s="12" t="e">
        <f>VLOOKUP(D75,Datos!$A$1:$H$256,6,FALSE)</f>
        <v>#N/A</v>
      </c>
      <c r="F75" s="12" t="e">
        <f>VLOOKUP(D75,Datos!$A$1:$H$256,7,FALSE)</f>
        <v>#N/A</v>
      </c>
      <c r="G75" s="12" t="e">
        <f>VLOOKUP(D75,Datos!$A$1:$H$256,8,FALSE)</f>
        <v>#N/A</v>
      </c>
      <c r="H75" s="4" t="s">
        <v>39</v>
      </c>
      <c r="I75" s="4" t="s">
        <v>30</v>
      </c>
      <c r="J75" s="12" t="s">
        <v>42</v>
      </c>
      <c r="K75" s="4" t="s">
        <v>90</v>
      </c>
      <c r="L75" s="4">
        <v>11</v>
      </c>
      <c r="M75" s="11">
        <f t="shared" si="14"/>
        <v>0.44</v>
      </c>
      <c r="N75" s="4">
        <v>6</v>
      </c>
      <c r="O75" s="11">
        <f t="shared" si="15"/>
        <v>0.6</v>
      </c>
      <c r="P75" s="4">
        <v>15</v>
      </c>
      <c r="Q75" s="11">
        <f t="shared" si="16"/>
        <v>0.42857142857142855</v>
      </c>
      <c r="R75" s="4">
        <v>9</v>
      </c>
      <c r="S75" s="11">
        <f t="shared" si="17"/>
        <v>0.3</v>
      </c>
      <c r="T75" s="4">
        <f t="shared" si="18"/>
        <v>41</v>
      </c>
      <c r="U75" s="11">
        <f t="shared" si="19"/>
        <v>0.41</v>
      </c>
      <c r="V75" s="13" t="str">
        <f t="shared" si="20"/>
        <v>INGRESÓ</v>
      </c>
      <c r="W75" s="13" t="s">
        <v>88</v>
      </c>
      <c r="X75" s="14">
        <v>45745</v>
      </c>
      <c r="Y75" s="13" t="s">
        <v>96</v>
      </c>
      <c r="Z75" s="13" t="e">
        <f>VLOOKUP(D75,Datos!$A$1:$C$256,3,FALSE)</f>
        <v>#N/A</v>
      </c>
    </row>
    <row r="76" spans="1:26" hidden="1" x14ac:dyDescent="0.25">
      <c r="A76" s="4">
        <v>7</v>
      </c>
      <c r="B76" s="12" t="e">
        <f>VLOOKUP(D76,Datos!$A$1:$H$256,4,FALSE)</f>
        <v>#N/A</v>
      </c>
      <c r="C76" s="12" t="e">
        <f>VLOOKUP(D76,Datos!$A$1:$H$256,5,FALSE)</f>
        <v>#N/A</v>
      </c>
      <c r="D76" s="4">
        <v>61145374</v>
      </c>
      <c r="E76" s="12" t="e">
        <f>VLOOKUP(D76,Datos!$A$1:$H$256,6,FALSE)</f>
        <v>#N/A</v>
      </c>
      <c r="F76" s="12" t="e">
        <f>VLOOKUP(D76,Datos!$A$1:$H$256,7,FALSE)</f>
        <v>#N/A</v>
      </c>
      <c r="G76" s="12" t="e">
        <f>VLOOKUP(D76,Datos!$A$1:$H$256,8,FALSE)</f>
        <v>#N/A</v>
      </c>
      <c r="H76" s="4" t="s">
        <v>39</v>
      </c>
      <c r="I76" s="4" t="s">
        <v>34</v>
      </c>
      <c r="J76" s="12" t="s">
        <v>42</v>
      </c>
      <c r="K76" s="4" t="s">
        <v>90</v>
      </c>
      <c r="L76" s="4">
        <v>12</v>
      </c>
      <c r="M76" s="11">
        <f t="shared" si="14"/>
        <v>0.48</v>
      </c>
      <c r="N76" s="4">
        <v>9</v>
      </c>
      <c r="O76" s="11">
        <f t="shared" si="15"/>
        <v>0.9</v>
      </c>
      <c r="P76" s="4">
        <v>8</v>
      </c>
      <c r="Q76" s="11">
        <f t="shared" si="16"/>
        <v>0.22857142857142856</v>
      </c>
      <c r="R76" s="4">
        <v>10</v>
      </c>
      <c r="S76" s="11">
        <f t="shared" si="17"/>
        <v>0.33333333333333331</v>
      </c>
      <c r="T76" s="4">
        <f t="shared" si="18"/>
        <v>39</v>
      </c>
      <c r="U76" s="11">
        <f t="shared" si="19"/>
        <v>0.39</v>
      </c>
      <c r="V76" s="13" t="str">
        <f t="shared" si="20"/>
        <v>INGRESÓ</v>
      </c>
      <c r="W76" s="13" t="s">
        <v>88</v>
      </c>
      <c r="X76" s="14">
        <v>45745</v>
      </c>
      <c r="Y76" s="13" t="s">
        <v>96</v>
      </c>
      <c r="Z76" s="13" t="e">
        <f>VLOOKUP(D76,Datos!$A$1:$C$256,3,FALSE)</f>
        <v>#N/A</v>
      </c>
    </row>
    <row r="77" spans="1:26" hidden="1" x14ac:dyDescent="0.25">
      <c r="A77" s="4">
        <v>8</v>
      </c>
      <c r="B77" s="12" t="e">
        <f>VLOOKUP(D77,Datos!$A$1:$H$256,4,FALSE)</f>
        <v>#N/A</v>
      </c>
      <c r="C77" s="12" t="e">
        <f>VLOOKUP(D77,Datos!$A$1:$H$256,5,FALSE)</f>
        <v>#N/A</v>
      </c>
      <c r="D77" s="4">
        <v>60805765</v>
      </c>
      <c r="E77" s="12" t="e">
        <f>VLOOKUP(D77,Datos!$A$1:$H$256,6,FALSE)</f>
        <v>#N/A</v>
      </c>
      <c r="F77" s="12" t="e">
        <f>VLOOKUP(D77,Datos!$A$1:$H$256,7,FALSE)</f>
        <v>#N/A</v>
      </c>
      <c r="G77" s="12" t="e">
        <f>VLOOKUP(D77,Datos!$A$1:$H$256,8,FALSE)</f>
        <v>#N/A</v>
      </c>
      <c r="H77" s="4" t="s">
        <v>39</v>
      </c>
      <c r="I77" s="4" t="s">
        <v>99</v>
      </c>
      <c r="J77" s="12" t="s">
        <v>42</v>
      </c>
      <c r="K77" s="4" t="s">
        <v>90</v>
      </c>
      <c r="L77" s="4">
        <v>10</v>
      </c>
      <c r="M77" s="11">
        <f t="shared" si="14"/>
        <v>0.4</v>
      </c>
      <c r="N77" s="4">
        <v>6</v>
      </c>
      <c r="O77" s="11">
        <f t="shared" si="15"/>
        <v>0.6</v>
      </c>
      <c r="P77" s="4">
        <v>16</v>
      </c>
      <c r="Q77" s="11">
        <f t="shared" si="16"/>
        <v>0.45714285714285713</v>
      </c>
      <c r="R77" s="4">
        <v>8</v>
      </c>
      <c r="S77" s="11">
        <f t="shared" si="17"/>
        <v>0.26666666666666666</v>
      </c>
      <c r="T77" s="4">
        <f t="shared" si="18"/>
        <v>40</v>
      </c>
      <c r="U77" s="11">
        <f t="shared" si="19"/>
        <v>0.4</v>
      </c>
      <c r="V77" s="13" t="str">
        <f t="shared" si="20"/>
        <v>INGRESÓ</v>
      </c>
      <c r="W77" s="13" t="s">
        <v>88</v>
      </c>
      <c r="X77" s="14">
        <v>45745</v>
      </c>
      <c r="Y77" s="13" t="s">
        <v>96</v>
      </c>
      <c r="Z77" s="13" t="e">
        <f>VLOOKUP(D77,Datos!$A$1:$C$256,3,FALSE)</f>
        <v>#N/A</v>
      </c>
    </row>
    <row r="78" spans="1:26" hidden="1" x14ac:dyDescent="0.25">
      <c r="A78" s="4">
        <v>9</v>
      </c>
      <c r="B78" s="12" t="e">
        <f>VLOOKUP(D78,Datos!$A$1:$H$256,4,FALSE)</f>
        <v>#N/A</v>
      </c>
      <c r="C78" s="12" t="e">
        <f>VLOOKUP(D78,Datos!$A$1:$H$256,5,FALSE)</f>
        <v>#N/A</v>
      </c>
      <c r="D78" s="4">
        <v>10764275</v>
      </c>
      <c r="E78" s="12" t="e">
        <f>VLOOKUP(D78,Datos!$A$1:$H$256,6,FALSE)</f>
        <v>#N/A</v>
      </c>
      <c r="F78" s="12" t="e">
        <f>VLOOKUP(D78,Datos!$A$1:$H$256,7,FALSE)</f>
        <v>#N/A</v>
      </c>
      <c r="G78" s="12" t="e">
        <f>VLOOKUP(D78,Datos!$A$1:$H$256,8,FALSE)</f>
        <v>#N/A</v>
      </c>
      <c r="H78" s="4" t="s">
        <v>39</v>
      </c>
      <c r="I78" s="4" t="s">
        <v>99</v>
      </c>
      <c r="J78" s="12" t="s">
        <v>42</v>
      </c>
      <c r="K78" s="4" t="s">
        <v>90</v>
      </c>
      <c r="L78" s="4">
        <v>7</v>
      </c>
      <c r="M78" s="11">
        <f t="shared" si="14"/>
        <v>0.28000000000000003</v>
      </c>
      <c r="N78" s="4">
        <v>5</v>
      </c>
      <c r="O78" s="11">
        <f t="shared" si="15"/>
        <v>0.5</v>
      </c>
      <c r="P78" s="4">
        <v>9</v>
      </c>
      <c r="Q78" s="11">
        <f t="shared" si="16"/>
        <v>0.25714285714285712</v>
      </c>
      <c r="R78" s="4">
        <v>5</v>
      </c>
      <c r="S78" s="11">
        <f t="shared" si="17"/>
        <v>0.16666666666666666</v>
      </c>
      <c r="T78" s="4">
        <f t="shared" si="18"/>
        <v>26</v>
      </c>
      <c r="U78" s="11">
        <f t="shared" si="19"/>
        <v>0.26</v>
      </c>
      <c r="V78" s="13" t="str">
        <f t="shared" si="20"/>
        <v>INGRESÓ</v>
      </c>
      <c r="W78" s="13" t="s">
        <v>88</v>
      </c>
      <c r="X78" s="14">
        <v>45745</v>
      </c>
      <c r="Y78" s="13" t="s">
        <v>96</v>
      </c>
      <c r="Z78" s="13" t="e">
        <f>VLOOKUP(D78,Datos!$A$1:$C$256,3,FALSE)</f>
        <v>#N/A</v>
      </c>
    </row>
    <row r="79" spans="1:26" hidden="1" x14ac:dyDescent="0.25">
      <c r="A79" s="4">
        <v>10</v>
      </c>
      <c r="B79" s="12" t="e">
        <f>VLOOKUP(D79,Datos!$A$1:$H$256,4,FALSE)</f>
        <v>#N/A</v>
      </c>
      <c r="C79" s="12" t="e">
        <f>VLOOKUP(D79,Datos!$A$1:$H$256,5,FALSE)</f>
        <v>#N/A</v>
      </c>
      <c r="D79" s="4">
        <v>8160587</v>
      </c>
      <c r="E79" s="12" t="e">
        <f>VLOOKUP(D79,Datos!$A$1:$H$256,6,FALSE)</f>
        <v>#N/A</v>
      </c>
      <c r="F79" s="12" t="e">
        <f>VLOOKUP(D79,Datos!$A$1:$H$256,7,FALSE)</f>
        <v>#N/A</v>
      </c>
      <c r="G79" s="12" t="e">
        <f>VLOOKUP(D79,Datos!$A$1:$H$256,8,FALSE)</f>
        <v>#N/A</v>
      </c>
      <c r="H79" s="4" t="s">
        <v>39</v>
      </c>
      <c r="I79" s="4" t="s">
        <v>99</v>
      </c>
      <c r="J79" s="12" t="s">
        <v>42</v>
      </c>
      <c r="K79" s="4" t="s">
        <v>90</v>
      </c>
      <c r="L79" s="4">
        <v>8</v>
      </c>
      <c r="M79" s="11">
        <f t="shared" si="14"/>
        <v>0.32</v>
      </c>
      <c r="N79" s="4">
        <v>4</v>
      </c>
      <c r="O79" s="11">
        <f t="shared" si="15"/>
        <v>0.4</v>
      </c>
      <c r="P79" s="4">
        <v>9</v>
      </c>
      <c r="Q79" s="11">
        <f t="shared" si="16"/>
        <v>0.25714285714285712</v>
      </c>
      <c r="R79" s="4">
        <v>7</v>
      </c>
      <c r="S79" s="11">
        <f t="shared" si="17"/>
        <v>0.23333333333333334</v>
      </c>
      <c r="T79" s="4">
        <f t="shared" si="18"/>
        <v>28</v>
      </c>
      <c r="U79" s="11">
        <f t="shared" si="19"/>
        <v>0.28000000000000003</v>
      </c>
      <c r="V79" s="13" t="str">
        <f t="shared" si="20"/>
        <v>INGRESÓ</v>
      </c>
      <c r="W79" s="13" t="s">
        <v>88</v>
      </c>
      <c r="X79" s="14">
        <v>45745</v>
      </c>
      <c r="Y79" s="13" t="s">
        <v>96</v>
      </c>
      <c r="Z79" s="13" t="e">
        <f>VLOOKUP(D79,Datos!$A$1:$C$256,3,FALSE)</f>
        <v>#N/A</v>
      </c>
    </row>
    <row r="80" spans="1:26" x14ac:dyDescent="0.25">
      <c r="A80" s="4">
        <v>11</v>
      </c>
      <c r="B80" s="12" t="e">
        <f>VLOOKUP(D80,Datos!$A$1:$H$256,4,FALSE)</f>
        <v>#N/A</v>
      </c>
      <c r="C80" s="12" t="e">
        <f>VLOOKUP(D80,Datos!$A$1:$H$256,5,FALSE)</f>
        <v>#N/A</v>
      </c>
      <c r="D80" s="4">
        <v>71453964</v>
      </c>
      <c r="E80" s="12" t="e">
        <f>VLOOKUP(D80,Datos!$A$1:$H$256,6,FALSE)</f>
        <v>#N/A</v>
      </c>
      <c r="F80" s="12" t="e">
        <f>VLOOKUP(D80,Datos!$A$1:$H$256,7,FALSE)</f>
        <v>#N/A</v>
      </c>
      <c r="G80" s="12" t="e">
        <f>VLOOKUP(D80,Datos!$A$1:$H$256,8,FALSE)</f>
        <v>#N/A</v>
      </c>
      <c r="H80" s="4" t="s">
        <v>39</v>
      </c>
      <c r="I80" s="4" t="s">
        <v>30</v>
      </c>
      <c r="J80" s="12" t="s">
        <v>42</v>
      </c>
      <c r="K80" s="4" t="s">
        <v>90</v>
      </c>
      <c r="L80" s="4">
        <v>16</v>
      </c>
      <c r="M80" s="11">
        <f t="shared" si="14"/>
        <v>0.64</v>
      </c>
      <c r="N80" s="4">
        <v>10</v>
      </c>
      <c r="O80" s="11">
        <f t="shared" si="15"/>
        <v>1</v>
      </c>
      <c r="P80" s="4">
        <v>18</v>
      </c>
      <c r="Q80" s="11">
        <f t="shared" si="16"/>
        <v>0.51428571428571423</v>
      </c>
      <c r="R80" s="4">
        <v>14</v>
      </c>
      <c r="S80" s="11">
        <f t="shared" si="17"/>
        <v>0.46666666666666667</v>
      </c>
      <c r="T80" s="4">
        <f t="shared" si="18"/>
        <v>58</v>
      </c>
      <c r="U80" s="11">
        <f t="shared" si="19"/>
        <v>0.57999999999999996</v>
      </c>
      <c r="V80" s="13" t="str">
        <f t="shared" si="20"/>
        <v>INGRESÓ</v>
      </c>
      <c r="W80" s="13" t="s">
        <v>88</v>
      </c>
      <c r="X80" s="14">
        <v>45745</v>
      </c>
      <c r="Y80" s="13" t="s">
        <v>96</v>
      </c>
      <c r="Z80" s="13" t="e">
        <f>VLOOKUP(D80,Datos!$A$1:$C$256,3,FALSE)</f>
        <v>#N/A</v>
      </c>
    </row>
    <row r="81" spans="1:26" x14ac:dyDescent="0.25">
      <c r="A81" s="4">
        <v>12</v>
      </c>
      <c r="B81" s="12" t="e">
        <f>VLOOKUP(D81,Datos!$A$1:$H$256,4,FALSE)</f>
        <v>#N/A</v>
      </c>
      <c r="C81" s="12" t="e">
        <f>VLOOKUP(D81,Datos!$A$1:$H$256,5,FALSE)</f>
        <v>#N/A</v>
      </c>
      <c r="D81" s="4">
        <v>45562319</v>
      </c>
      <c r="E81" s="12" t="e">
        <f>VLOOKUP(D81,Datos!$A$1:$H$256,6,FALSE)</f>
        <v>#N/A</v>
      </c>
      <c r="F81" s="12" t="e">
        <f>VLOOKUP(D81,Datos!$A$1:$H$256,7,FALSE)</f>
        <v>#N/A</v>
      </c>
      <c r="G81" s="12" t="e">
        <f>VLOOKUP(D81,Datos!$A$1:$H$256,8,FALSE)</f>
        <v>#N/A</v>
      </c>
      <c r="H81" s="4" t="s">
        <v>39</v>
      </c>
      <c r="I81" s="4" t="s">
        <v>30</v>
      </c>
      <c r="J81" s="12" t="s">
        <v>42</v>
      </c>
      <c r="K81" s="4" t="s">
        <v>90</v>
      </c>
      <c r="L81" s="4">
        <v>13</v>
      </c>
      <c r="M81" s="11">
        <f t="shared" si="14"/>
        <v>0.52</v>
      </c>
      <c r="N81" s="4">
        <v>7</v>
      </c>
      <c r="O81" s="11">
        <f t="shared" si="15"/>
        <v>0.7</v>
      </c>
      <c r="P81" s="4">
        <v>20</v>
      </c>
      <c r="Q81" s="11">
        <f t="shared" si="16"/>
        <v>0.5714285714285714</v>
      </c>
      <c r="R81" s="4">
        <v>14</v>
      </c>
      <c r="S81" s="11">
        <f t="shared" si="17"/>
        <v>0.46666666666666667</v>
      </c>
      <c r="T81" s="4">
        <f t="shared" si="18"/>
        <v>54</v>
      </c>
      <c r="U81" s="11">
        <f t="shared" si="19"/>
        <v>0.54</v>
      </c>
      <c r="V81" s="13" t="str">
        <f t="shared" si="20"/>
        <v>INGRESÓ</v>
      </c>
      <c r="W81" s="13" t="s">
        <v>88</v>
      </c>
      <c r="X81" s="14">
        <v>45745</v>
      </c>
      <c r="Y81" s="13" t="s">
        <v>96</v>
      </c>
      <c r="Z81" s="13" t="e">
        <f>VLOOKUP(D81,Datos!$A$1:$C$256,3,FALSE)</f>
        <v>#N/A</v>
      </c>
    </row>
    <row r="82" spans="1:26" x14ac:dyDescent="0.25">
      <c r="A82" s="4">
        <v>13</v>
      </c>
      <c r="B82" s="12" t="e">
        <f>VLOOKUP(D82,Datos!$A$1:$H$256,4,FALSE)</f>
        <v>#N/A</v>
      </c>
      <c r="C82" s="12" t="e">
        <f>VLOOKUP(D82,Datos!$A$1:$H$256,5,FALSE)</f>
        <v>#N/A</v>
      </c>
      <c r="D82" s="4">
        <v>71937440</v>
      </c>
      <c r="E82" s="12" t="e">
        <f>VLOOKUP(D82,Datos!$A$1:$H$256,6,FALSE)</f>
        <v>#N/A</v>
      </c>
      <c r="F82" s="12" t="e">
        <f>VLOOKUP(D82,Datos!$A$1:$H$256,7,FALSE)</f>
        <v>#N/A</v>
      </c>
      <c r="G82" s="12" t="e">
        <f>VLOOKUP(D82,Datos!$A$1:$H$256,8,FALSE)</f>
        <v>#N/A</v>
      </c>
      <c r="H82" s="4" t="s">
        <v>39</v>
      </c>
      <c r="I82" s="4" t="s">
        <v>30</v>
      </c>
      <c r="J82" s="12" t="s">
        <v>42</v>
      </c>
      <c r="K82" s="4" t="s">
        <v>90</v>
      </c>
      <c r="L82" s="4">
        <v>10</v>
      </c>
      <c r="M82" s="11">
        <f t="shared" si="14"/>
        <v>0.4</v>
      </c>
      <c r="N82" s="4">
        <v>8</v>
      </c>
      <c r="O82" s="11">
        <f t="shared" si="15"/>
        <v>0.8</v>
      </c>
      <c r="P82" s="4">
        <v>7</v>
      </c>
      <c r="Q82" s="11">
        <f t="shared" si="16"/>
        <v>0.2</v>
      </c>
      <c r="R82" s="4">
        <v>6</v>
      </c>
      <c r="S82" s="11">
        <f t="shared" si="17"/>
        <v>0.2</v>
      </c>
      <c r="T82" s="4">
        <f t="shared" si="18"/>
        <v>31</v>
      </c>
      <c r="U82" s="11">
        <f t="shared" si="19"/>
        <v>0.31</v>
      </c>
      <c r="V82" s="13" t="str">
        <f t="shared" si="20"/>
        <v>INGRESÓ</v>
      </c>
      <c r="W82" s="13" t="s">
        <v>88</v>
      </c>
      <c r="X82" s="14">
        <v>45745</v>
      </c>
      <c r="Y82" s="13" t="s">
        <v>96</v>
      </c>
      <c r="Z82" s="13" t="e">
        <f>VLOOKUP(D82,Datos!$A$1:$C$256,3,FALSE)</f>
        <v>#N/A</v>
      </c>
    </row>
    <row r="83" spans="1:26" hidden="1" x14ac:dyDescent="0.25">
      <c r="A83" s="4">
        <v>14</v>
      </c>
      <c r="B83" s="12" t="e">
        <f>VLOOKUP(D83,Datos!$A$1:$H$256,4,FALSE)</f>
        <v>#N/A</v>
      </c>
      <c r="C83" s="12" t="e">
        <f>VLOOKUP(D83,Datos!$A$1:$H$256,5,FALSE)</f>
        <v>#N/A</v>
      </c>
      <c r="D83" s="4">
        <v>46901693</v>
      </c>
      <c r="E83" s="12" t="e">
        <f>VLOOKUP(D83,Datos!$A$1:$H$256,6,FALSE)</f>
        <v>#N/A</v>
      </c>
      <c r="F83" s="12" t="e">
        <f>VLOOKUP(D83,Datos!$A$1:$H$256,7,FALSE)</f>
        <v>#N/A</v>
      </c>
      <c r="G83" s="12" t="e">
        <f>VLOOKUP(D83,Datos!$A$1:$H$256,8,FALSE)</f>
        <v>#N/A</v>
      </c>
      <c r="H83" s="4" t="s">
        <v>39</v>
      </c>
      <c r="I83" s="4" t="s">
        <v>34</v>
      </c>
      <c r="J83" s="12" t="s">
        <v>42</v>
      </c>
      <c r="K83" s="4" t="s">
        <v>90</v>
      </c>
      <c r="L83" s="4">
        <v>4</v>
      </c>
      <c r="M83" s="11">
        <f t="shared" si="14"/>
        <v>0.16</v>
      </c>
      <c r="N83" s="4">
        <v>5</v>
      </c>
      <c r="O83" s="11">
        <f t="shared" si="15"/>
        <v>0.5</v>
      </c>
      <c r="P83" s="4">
        <v>3</v>
      </c>
      <c r="Q83" s="11">
        <f t="shared" si="16"/>
        <v>8.5714285714285715E-2</v>
      </c>
      <c r="R83" s="4">
        <v>2</v>
      </c>
      <c r="S83" s="11">
        <f t="shared" si="17"/>
        <v>6.6666666666666666E-2</v>
      </c>
      <c r="T83" s="4">
        <f t="shared" si="18"/>
        <v>14</v>
      </c>
      <c r="U83" s="11">
        <f t="shared" si="19"/>
        <v>0.14000000000000001</v>
      </c>
      <c r="V83" s="13" t="str">
        <f t="shared" si="20"/>
        <v>INGRESÓ</v>
      </c>
      <c r="W83" s="13" t="s">
        <v>88</v>
      </c>
      <c r="X83" s="14">
        <v>45745</v>
      </c>
      <c r="Y83" s="13" t="s">
        <v>96</v>
      </c>
      <c r="Z83" s="13" t="e">
        <f>VLOOKUP(D83,Datos!$A$1:$C$256,3,FALSE)</f>
        <v>#N/A</v>
      </c>
    </row>
    <row r="84" spans="1:26" hidden="1" x14ac:dyDescent="0.25">
      <c r="A84" s="4">
        <v>15</v>
      </c>
      <c r="B84" s="12" t="e">
        <f>VLOOKUP(D84,Datos!$A$1:$H$256,4,FALSE)</f>
        <v>#N/A</v>
      </c>
      <c r="C84" s="12" t="e">
        <f>VLOOKUP(D84,Datos!$A$1:$H$256,5,FALSE)</f>
        <v>#N/A</v>
      </c>
      <c r="D84" s="4">
        <v>61247147</v>
      </c>
      <c r="E84" s="12" t="e">
        <f>VLOOKUP(D84,Datos!$A$1:$H$256,6,FALSE)</f>
        <v>#N/A</v>
      </c>
      <c r="F84" s="12" t="e">
        <f>VLOOKUP(D84,Datos!$A$1:$H$256,7,FALSE)</f>
        <v>#N/A</v>
      </c>
      <c r="G84" s="12" t="e">
        <f>VLOOKUP(D84,Datos!$A$1:$H$256,8,FALSE)</f>
        <v>#N/A</v>
      </c>
      <c r="H84" s="4" t="s">
        <v>39</v>
      </c>
      <c r="I84" s="4" t="s">
        <v>27</v>
      </c>
      <c r="J84" s="12" t="s">
        <v>42</v>
      </c>
      <c r="K84" s="4" t="s">
        <v>90</v>
      </c>
      <c r="L84" s="4">
        <v>11</v>
      </c>
      <c r="M84" s="11">
        <f t="shared" si="14"/>
        <v>0.44</v>
      </c>
      <c r="N84" s="4">
        <v>8</v>
      </c>
      <c r="O84" s="11">
        <f t="shared" si="15"/>
        <v>0.8</v>
      </c>
      <c r="P84" s="4">
        <v>15</v>
      </c>
      <c r="Q84" s="11">
        <f t="shared" si="16"/>
        <v>0.42857142857142855</v>
      </c>
      <c r="R84" s="4">
        <v>9</v>
      </c>
      <c r="S84" s="11">
        <f t="shared" si="17"/>
        <v>0.3</v>
      </c>
      <c r="T84" s="4">
        <f t="shared" si="18"/>
        <v>43</v>
      </c>
      <c r="U84" s="11">
        <f t="shared" si="19"/>
        <v>0.43</v>
      </c>
      <c r="V84" s="13" t="str">
        <f t="shared" si="20"/>
        <v>INGRESÓ</v>
      </c>
      <c r="W84" s="13" t="s">
        <v>88</v>
      </c>
      <c r="X84" s="14">
        <v>45745</v>
      </c>
      <c r="Y84" s="13" t="s">
        <v>96</v>
      </c>
      <c r="Z84" s="13" t="e">
        <f>VLOOKUP(D84,Datos!$A$1:$C$256,3,FALSE)</f>
        <v>#N/A</v>
      </c>
    </row>
    <row r="85" spans="1:26" hidden="1" x14ac:dyDescent="0.25">
      <c r="A85" s="4">
        <v>16</v>
      </c>
      <c r="B85" s="12" t="e">
        <f>VLOOKUP(D85,Datos!$A$1:$H$256,4,FALSE)</f>
        <v>#N/A</v>
      </c>
      <c r="C85" s="12" t="e">
        <f>VLOOKUP(D85,Datos!$A$1:$H$256,5,FALSE)</f>
        <v>#N/A</v>
      </c>
      <c r="D85" s="4">
        <v>73033501</v>
      </c>
      <c r="E85" s="12" t="e">
        <f>VLOOKUP(D85,Datos!$A$1:$H$256,6,FALSE)</f>
        <v>#N/A</v>
      </c>
      <c r="F85" s="12" t="e">
        <f>VLOOKUP(D85,Datos!$A$1:$H$256,7,FALSE)</f>
        <v>#N/A</v>
      </c>
      <c r="G85" s="12" t="e">
        <f>VLOOKUP(D85,Datos!$A$1:$H$256,8,FALSE)</f>
        <v>#N/A</v>
      </c>
      <c r="H85" s="4" t="s">
        <v>39</v>
      </c>
      <c r="I85" s="4" t="s">
        <v>99</v>
      </c>
      <c r="J85" s="12" t="s">
        <v>42</v>
      </c>
      <c r="K85" s="4" t="s">
        <v>90</v>
      </c>
      <c r="L85" s="4">
        <v>10</v>
      </c>
      <c r="M85" s="11">
        <f t="shared" si="14"/>
        <v>0.4</v>
      </c>
      <c r="N85" s="4">
        <v>10</v>
      </c>
      <c r="O85" s="11">
        <f t="shared" si="15"/>
        <v>1</v>
      </c>
      <c r="P85" s="4">
        <v>4</v>
      </c>
      <c r="Q85" s="11">
        <f t="shared" si="16"/>
        <v>0.11428571428571428</v>
      </c>
      <c r="R85" s="4">
        <v>7</v>
      </c>
      <c r="S85" s="11">
        <f t="shared" si="17"/>
        <v>0.23333333333333334</v>
      </c>
      <c r="T85" s="4">
        <f t="shared" si="18"/>
        <v>31</v>
      </c>
      <c r="U85" s="11">
        <f t="shared" si="19"/>
        <v>0.31</v>
      </c>
      <c r="V85" s="13" t="str">
        <f t="shared" si="20"/>
        <v>INGRESÓ</v>
      </c>
      <c r="W85" s="13" t="s">
        <v>88</v>
      </c>
      <c r="X85" s="14">
        <v>45745</v>
      </c>
      <c r="Y85" s="13" t="s">
        <v>96</v>
      </c>
      <c r="Z85" s="13" t="e">
        <f>VLOOKUP(D85,Datos!$A$1:$C$256,3,FALSE)</f>
        <v>#N/A</v>
      </c>
    </row>
    <row r="86" spans="1:26" hidden="1" x14ac:dyDescent="0.25">
      <c r="A86" s="4">
        <v>17</v>
      </c>
      <c r="B86" s="12" t="e">
        <f>VLOOKUP(D86,Datos!$A$1:$H$256,4,FALSE)</f>
        <v>#N/A</v>
      </c>
      <c r="C86" s="12" t="e">
        <f>VLOOKUP(D86,Datos!$A$1:$H$256,5,FALSE)</f>
        <v>#N/A</v>
      </c>
      <c r="D86" s="4">
        <v>74949988</v>
      </c>
      <c r="E86" s="12" t="e">
        <f>VLOOKUP(D86,Datos!$A$1:$H$256,6,FALSE)</f>
        <v>#N/A</v>
      </c>
      <c r="F86" s="12" t="e">
        <f>VLOOKUP(D86,Datos!$A$1:$H$256,7,FALSE)</f>
        <v>#N/A</v>
      </c>
      <c r="G86" s="12" t="e">
        <f>VLOOKUP(D86,Datos!$A$1:$H$256,8,FALSE)</f>
        <v>#N/A</v>
      </c>
      <c r="H86" s="4" t="s">
        <v>39</v>
      </c>
      <c r="I86" s="4" t="s">
        <v>100</v>
      </c>
      <c r="J86" s="12" t="s">
        <v>42</v>
      </c>
      <c r="K86" s="4" t="s">
        <v>90</v>
      </c>
      <c r="L86" s="4">
        <v>12</v>
      </c>
      <c r="M86" s="11">
        <f t="shared" si="14"/>
        <v>0.48</v>
      </c>
      <c r="N86" s="4">
        <v>8</v>
      </c>
      <c r="O86" s="11">
        <f t="shared" si="15"/>
        <v>0.8</v>
      </c>
      <c r="P86" s="4">
        <v>11</v>
      </c>
      <c r="Q86" s="11">
        <f t="shared" si="16"/>
        <v>0.31428571428571428</v>
      </c>
      <c r="R86" s="4">
        <v>8</v>
      </c>
      <c r="S86" s="11">
        <f t="shared" si="17"/>
        <v>0.26666666666666666</v>
      </c>
      <c r="T86" s="4">
        <f t="shared" si="18"/>
        <v>39</v>
      </c>
      <c r="U86" s="11">
        <f t="shared" si="19"/>
        <v>0.39</v>
      </c>
      <c r="V86" s="13" t="str">
        <f t="shared" si="20"/>
        <v>INGRESÓ</v>
      </c>
      <c r="W86" s="13" t="s">
        <v>88</v>
      </c>
      <c r="X86" s="14">
        <v>45745</v>
      </c>
      <c r="Y86" s="13" t="s">
        <v>96</v>
      </c>
      <c r="Z86" s="13" t="e">
        <f>VLOOKUP(D86,Datos!$A$1:$C$256,3,FALSE)</f>
        <v>#N/A</v>
      </c>
    </row>
    <row r="87" spans="1:26" hidden="1" x14ac:dyDescent="0.25">
      <c r="A87" s="4">
        <v>18</v>
      </c>
      <c r="B87" s="12" t="e">
        <f>VLOOKUP(D87,Datos!$A$1:$H$256,4,FALSE)</f>
        <v>#N/A</v>
      </c>
      <c r="C87" s="12" t="e">
        <f>VLOOKUP(D87,Datos!$A$1:$H$256,5,FALSE)</f>
        <v>#N/A</v>
      </c>
      <c r="D87" s="4">
        <v>7715801</v>
      </c>
      <c r="E87" s="12" t="e">
        <f>VLOOKUP(D87,Datos!$A$1:$H$256,6,FALSE)</f>
        <v>#N/A</v>
      </c>
      <c r="F87" s="12" t="e">
        <f>VLOOKUP(D87,Datos!$A$1:$H$256,7,FALSE)</f>
        <v>#N/A</v>
      </c>
      <c r="G87" s="12" t="e">
        <f>VLOOKUP(D87,Datos!$A$1:$H$256,8,FALSE)</f>
        <v>#N/A</v>
      </c>
      <c r="H87" s="4" t="s">
        <v>39</v>
      </c>
      <c r="I87" s="4" t="s">
        <v>101</v>
      </c>
      <c r="J87" s="12" t="s">
        <v>42</v>
      </c>
      <c r="K87" s="4" t="s">
        <v>90</v>
      </c>
      <c r="L87" s="4">
        <v>5</v>
      </c>
      <c r="M87" s="11">
        <f t="shared" si="14"/>
        <v>0.2</v>
      </c>
      <c r="N87" s="4">
        <v>9</v>
      </c>
      <c r="O87" s="11">
        <f t="shared" si="15"/>
        <v>0.9</v>
      </c>
      <c r="P87" s="4">
        <v>8</v>
      </c>
      <c r="Q87" s="11">
        <f t="shared" si="16"/>
        <v>0.22857142857142856</v>
      </c>
      <c r="R87" s="4">
        <v>9</v>
      </c>
      <c r="S87" s="11">
        <f t="shared" si="17"/>
        <v>0.3</v>
      </c>
      <c r="T87" s="4">
        <f t="shared" si="18"/>
        <v>31</v>
      </c>
      <c r="U87" s="11">
        <f t="shared" si="19"/>
        <v>0.31</v>
      </c>
      <c r="V87" s="13" t="str">
        <f t="shared" si="20"/>
        <v>INGRESÓ</v>
      </c>
      <c r="W87" s="13" t="s">
        <v>88</v>
      </c>
      <c r="X87" s="14">
        <v>45745</v>
      </c>
      <c r="Y87" s="13" t="s">
        <v>96</v>
      </c>
      <c r="Z87" s="13" t="e">
        <f>VLOOKUP(D87,Datos!$A$1:$C$256,3,FALSE)</f>
        <v>#N/A</v>
      </c>
    </row>
    <row r="88" spans="1:26" hidden="1" x14ac:dyDescent="0.25">
      <c r="A88" s="4">
        <v>19</v>
      </c>
      <c r="B88" s="12" t="e">
        <f>VLOOKUP(D88,Datos!$A$1:$H$256,4,FALSE)</f>
        <v>#N/A</v>
      </c>
      <c r="C88" s="12" t="e">
        <f>VLOOKUP(D88,Datos!$A$1:$H$256,5,FALSE)</f>
        <v>#N/A</v>
      </c>
      <c r="D88" s="4">
        <v>44120459</v>
      </c>
      <c r="E88" s="12" t="e">
        <f>VLOOKUP(D88,Datos!$A$1:$H$256,6,FALSE)</f>
        <v>#N/A</v>
      </c>
      <c r="F88" s="12" t="e">
        <f>VLOOKUP(D88,Datos!$A$1:$H$256,7,FALSE)</f>
        <v>#N/A</v>
      </c>
      <c r="G88" s="12" t="e">
        <f>VLOOKUP(D88,Datos!$A$1:$H$256,8,FALSE)</f>
        <v>#N/A</v>
      </c>
      <c r="H88" s="4" t="s">
        <v>39</v>
      </c>
      <c r="I88" s="4" t="s">
        <v>99</v>
      </c>
      <c r="J88" s="12" t="s">
        <v>42</v>
      </c>
      <c r="K88" s="4" t="s">
        <v>90</v>
      </c>
      <c r="L88" s="4">
        <v>7</v>
      </c>
      <c r="M88" s="11">
        <f t="shared" si="14"/>
        <v>0.28000000000000003</v>
      </c>
      <c r="N88" s="4">
        <v>9</v>
      </c>
      <c r="O88" s="11">
        <f t="shared" si="15"/>
        <v>0.9</v>
      </c>
      <c r="P88" s="4">
        <v>5</v>
      </c>
      <c r="Q88" s="11">
        <f t="shared" si="16"/>
        <v>0.14285714285714285</v>
      </c>
      <c r="R88" s="4">
        <v>7</v>
      </c>
      <c r="S88" s="11">
        <f t="shared" si="17"/>
        <v>0.23333333333333334</v>
      </c>
      <c r="T88" s="4">
        <f t="shared" si="18"/>
        <v>28</v>
      </c>
      <c r="U88" s="11">
        <f t="shared" si="19"/>
        <v>0.28000000000000003</v>
      </c>
      <c r="V88" s="13" t="str">
        <f t="shared" si="20"/>
        <v>INGRESÓ</v>
      </c>
      <c r="W88" s="13" t="s">
        <v>88</v>
      </c>
      <c r="X88" s="14">
        <v>45745</v>
      </c>
      <c r="Y88" s="13" t="s">
        <v>96</v>
      </c>
      <c r="Z88" s="13" t="e">
        <f>VLOOKUP(D88,Datos!$A$1:$C$256,3,FALSE)</f>
        <v>#N/A</v>
      </c>
    </row>
    <row r="89" spans="1:26" x14ac:dyDescent="0.25">
      <c r="A89" s="4">
        <v>20</v>
      </c>
      <c r="B89" s="12" t="e">
        <f>VLOOKUP(D89,Datos!$A$1:$H$256,4,FALSE)</f>
        <v>#N/A</v>
      </c>
      <c r="C89" s="12" t="e">
        <f>VLOOKUP(D89,Datos!$A$1:$H$256,5,FALSE)</f>
        <v>#N/A</v>
      </c>
      <c r="D89" s="4">
        <v>61059891</v>
      </c>
      <c r="E89" s="12" t="e">
        <f>VLOOKUP(D89,Datos!$A$1:$H$256,6,FALSE)</f>
        <v>#N/A</v>
      </c>
      <c r="F89" s="12" t="e">
        <f>VLOOKUP(D89,Datos!$A$1:$H$256,7,FALSE)</f>
        <v>#N/A</v>
      </c>
      <c r="G89" s="12" t="e">
        <f>VLOOKUP(D89,Datos!$A$1:$H$256,8,FALSE)</f>
        <v>#N/A</v>
      </c>
      <c r="H89" s="4" t="s">
        <v>39</v>
      </c>
      <c r="I89" s="4" t="s">
        <v>30</v>
      </c>
      <c r="J89" s="12" t="s">
        <v>42</v>
      </c>
      <c r="K89" s="4" t="s">
        <v>90</v>
      </c>
      <c r="L89" s="4">
        <v>5</v>
      </c>
      <c r="M89" s="11">
        <f t="shared" si="14"/>
        <v>0.2</v>
      </c>
      <c r="N89" s="4">
        <v>6</v>
      </c>
      <c r="O89" s="11">
        <f t="shared" si="15"/>
        <v>0.6</v>
      </c>
      <c r="P89" s="4">
        <v>9</v>
      </c>
      <c r="Q89" s="11">
        <f t="shared" si="16"/>
        <v>0.25714285714285712</v>
      </c>
      <c r="R89" s="4">
        <v>7</v>
      </c>
      <c r="S89" s="11">
        <f t="shared" si="17"/>
        <v>0.23333333333333334</v>
      </c>
      <c r="T89" s="4">
        <f t="shared" si="18"/>
        <v>27</v>
      </c>
      <c r="U89" s="11">
        <f t="shared" si="19"/>
        <v>0.27</v>
      </c>
      <c r="V89" s="13" t="str">
        <f t="shared" si="20"/>
        <v>INGRESÓ</v>
      </c>
      <c r="W89" s="13" t="s">
        <v>88</v>
      </c>
      <c r="X89" s="14">
        <v>45745</v>
      </c>
      <c r="Y89" s="13" t="s">
        <v>96</v>
      </c>
      <c r="Z89" s="13" t="e">
        <f>VLOOKUP(D89,Datos!$A$1:$C$256,3,FALSE)</f>
        <v>#N/A</v>
      </c>
    </row>
    <row r="90" spans="1:26" hidden="1" x14ac:dyDescent="0.25">
      <c r="A90" s="4">
        <v>21</v>
      </c>
      <c r="B90" s="12" t="e">
        <f>VLOOKUP(D90,Datos!$A$1:$H$256,4,FALSE)</f>
        <v>#N/A</v>
      </c>
      <c r="C90" s="12" t="e">
        <f>VLOOKUP(D90,Datos!$A$1:$H$256,5,FALSE)</f>
        <v>#N/A</v>
      </c>
      <c r="D90" s="4">
        <v>76985779</v>
      </c>
      <c r="E90" s="12" t="e">
        <f>VLOOKUP(D90,Datos!$A$1:$H$256,6,FALSE)</f>
        <v>#N/A</v>
      </c>
      <c r="F90" s="12" t="e">
        <f>VLOOKUP(D90,Datos!$A$1:$H$256,7,FALSE)</f>
        <v>#N/A</v>
      </c>
      <c r="G90" s="12" t="e">
        <f>VLOOKUP(D90,Datos!$A$1:$H$256,8,FALSE)</f>
        <v>#N/A</v>
      </c>
      <c r="H90" s="4" t="s">
        <v>39</v>
      </c>
      <c r="I90" s="4" t="s">
        <v>99</v>
      </c>
      <c r="J90" s="12" t="s">
        <v>42</v>
      </c>
      <c r="K90" s="4" t="s">
        <v>90</v>
      </c>
      <c r="L90" s="4">
        <v>11</v>
      </c>
      <c r="M90" s="11">
        <f t="shared" si="14"/>
        <v>0.44</v>
      </c>
      <c r="N90" s="4">
        <v>10</v>
      </c>
      <c r="O90" s="11">
        <f t="shared" si="15"/>
        <v>1</v>
      </c>
      <c r="P90" s="4">
        <v>10</v>
      </c>
      <c r="Q90" s="11">
        <f t="shared" si="16"/>
        <v>0.2857142857142857</v>
      </c>
      <c r="R90" s="4">
        <v>11</v>
      </c>
      <c r="S90" s="11">
        <f t="shared" si="17"/>
        <v>0.36666666666666664</v>
      </c>
      <c r="T90" s="4">
        <f t="shared" si="18"/>
        <v>42</v>
      </c>
      <c r="U90" s="11">
        <f t="shared" si="19"/>
        <v>0.42</v>
      </c>
      <c r="V90" s="13" t="str">
        <f t="shared" si="20"/>
        <v>INGRESÓ</v>
      </c>
      <c r="W90" s="13" t="s">
        <v>88</v>
      </c>
      <c r="X90" s="14">
        <v>45745</v>
      </c>
      <c r="Y90" s="13" t="s">
        <v>96</v>
      </c>
      <c r="Z90" s="13" t="e">
        <f>VLOOKUP(D90,Datos!$A$1:$C$256,3,FALSE)</f>
        <v>#N/A</v>
      </c>
    </row>
    <row r="91" spans="1:26" x14ac:dyDescent="0.25">
      <c r="A91" s="4">
        <v>22</v>
      </c>
      <c r="B91" s="12" t="e">
        <f>VLOOKUP(D91,Datos!$A$1:$H$256,4,FALSE)</f>
        <v>#N/A</v>
      </c>
      <c r="C91" s="12" t="e">
        <f>VLOOKUP(D91,Datos!$A$1:$H$256,5,FALSE)</f>
        <v>#N/A</v>
      </c>
      <c r="D91" s="4">
        <v>61042068</v>
      </c>
      <c r="E91" s="12" t="e">
        <f>VLOOKUP(D91,Datos!$A$1:$H$256,6,FALSE)</f>
        <v>#N/A</v>
      </c>
      <c r="F91" s="12" t="e">
        <f>VLOOKUP(D91,Datos!$A$1:$H$256,7,FALSE)</f>
        <v>#N/A</v>
      </c>
      <c r="G91" s="12" t="e">
        <f>VLOOKUP(D91,Datos!$A$1:$H$256,8,FALSE)</f>
        <v>#N/A</v>
      </c>
      <c r="H91" s="4" t="s">
        <v>39</v>
      </c>
      <c r="I91" s="4" t="s">
        <v>30</v>
      </c>
      <c r="J91" s="12" t="s">
        <v>42</v>
      </c>
      <c r="K91" s="4" t="s">
        <v>90</v>
      </c>
      <c r="L91" s="4">
        <v>12</v>
      </c>
      <c r="M91" s="11">
        <f t="shared" si="14"/>
        <v>0.48</v>
      </c>
      <c r="N91" s="4">
        <v>9</v>
      </c>
      <c r="O91" s="11">
        <f t="shared" si="15"/>
        <v>0.9</v>
      </c>
      <c r="P91" s="4">
        <v>9</v>
      </c>
      <c r="Q91" s="11">
        <f t="shared" si="16"/>
        <v>0.25714285714285712</v>
      </c>
      <c r="R91" s="4">
        <v>9</v>
      </c>
      <c r="S91" s="11">
        <f t="shared" si="17"/>
        <v>0.3</v>
      </c>
      <c r="T91" s="4">
        <f t="shared" si="18"/>
        <v>39</v>
      </c>
      <c r="U91" s="11">
        <f t="shared" si="19"/>
        <v>0.39</v>
      </c>
      <c r="V91" s="13" t="str">
        <f t="shared" si="20"/>
        <v>INGRESÓ</v>
      </c>
      <c r="W91" s="13" t="s">
        <v>88</v>
      </c>
      <c r="X91" s="14">
        <v>45745</v>
      </c>
      <c r="Y91" s="13" t="s">
        <v>96</v>
      </c>
      <c r="Z91" s="13" t="e">
        <f>VLOOKUP(D91,Datos!$A$1:$C$256,3,FALSE)</f>
        <v>#N/A</v>
      </c>
    </row>
    <row r="92" spans="1:26" hidden="1" x14ac:dyDescent="0.25">
      <c r="A92" s="4">
        <v>23</v>
      </c>
      <c r="B92" s="12" t="e">
        <f>VLOOKUP(D92,Datos!$A$1:$H$256,4,FALSE)</f>
        <v>#N/A</v>
      </c>
      <c r="C92" s="12" t="e">
        <f>VLOOKUP(D92,Datos!$A$1:$H$256,5,FALSE)</f>
        <v>#N/A</v>
      </c>
      <c r="D92" s="4">
        <v>40189400</v>
      </c>
      <c r="E92" s="12" t="e">
        <f>VLOOKUP(D92,Datos!$A$1:$H$256,6,FALSE)</f>
        <v>#N/A</v>
      </c>
      <c r="F92" s="12" t="e">
        <f>VLOOKUP(D92,Datos!$A$1:$H$256,7,FALSE)</f>
        <v>#N/A</v>
      </c>
      <c r="G92" s="12" t="e">
        <f>VLOOKUP(D92,Datos!$A$1:$H$256,8,FALSE)</f>
        <v>#N/A</v>
      </c>
      <c r="H92" s="4" t="s">
        <v>39</v>
      </c>
      <c r="I92" s="4" t="s">
        <v>99</v>
      </c>
      <c r="J92" s="12" t="s">
        <v>42</v>
      </c>
      <c r="K92" s="4" t="s">
        <v>90</v>
      </c>
      <c r="L92" s="4">
        <v>11</v>
      </c>
      <c r="M92" s="11">
        <f t="shared" si="14"/>
        <v>0.44</v>
      </c>
      <c r="N92" s="4">
        <v>8</v>
      </c>
      <c r="O92" s="11">
        <f t="shared" si="15"/>
        <v>0.8</v>
      </c>
      <c r="P92" s="4">
        <v>10</v>
      </c>
      <c r="Q92" s="11">
        <f t="shared" si="16"/>
        <v>0.2857142857142857</v>
      </c>
      <c r="R92" s="4">
        <v>10</v>
      </c>
      <c r="S92" s="11">
        <f t="shared" si="17"/>
        <v>0.33333333333333331</v>
      </c>
      <c r="T92" s="4">
        <f t="shared" si="18"/>
        <v>39</v>
      </c>
      <c r="U92" s="11">
        <f t="shared" si="19"/>
        <v>0.39</v>
      </c>
      <c r="V92" s="13" t="str">
        <f t="shared" si="20"/>
        <v>INGRESÓ</v>
      </c>
      <c r="W92" s="13" t="s">
        <v>88</v>
      </c>
      <c r="X92" s="14">
        <v>45745</v>
      </c>
      <c r="Y92" s="13" t="s">
        <v>96</v>
      </c>
      <c r="Z92" s="13" t="e">
        <f>VLOOKUP(D92,Datos!$A$1:$C$256,3,FALSE)</f>
        <v>#N/A</v>
      </c>
    </row>
    <row r="93" spans="1:26" hidden="1" x14ac:dyDescent="0.25">
      <c r="A93" s="4">
        <v>24</v>
      </c>
      <c r="B93" s="12" t="e">
        <f>VLOOKUP(D93,Datos!$A$1:$H$256,4,FALSE)</f>
        <v>#N/A</v>
      </c>
      <c r="C93" s="12" t="e">
        <f>VLOOKUP(D93,Datos!$A$1:$H$256,5,FALSE)</f>
        <v>#N/A</v>
      </c>
      <c r="D93" s="4">
        <v>61971185</v>
      </c>
      <c r="E93" s="12" t="e">
        <f>VLOOKUP(D93,Datos!$A$1:$H$256,6,FALSE)</f>
        <v>#N/A</v>
      </c>
      <c r="F93" s="12" t="e">
        <f>VLOOKUP(D93,Datos!$A$1:$H$256,7,FALSE)</f>
        <v>#N/A</v>
      </c>
      <c r="G93" s="12" t="e">
        <f>VLOOKUP(D93,Datos!$A$1:$H$256,8,FALSE)</f>
        <v>#N/A</v>
      </c>
      <c r="H93" s="4" t="s">
        <v>39</v>
      </c>
      <c r="I93" s="4" t="s">
        <v>102</v>
      </c>
      <c r="J93" s="12" t="s">
        <v>42</v>
      </c>
      <c r="K93" s="4" t="s">
        <v>90</v>
      </c>
      <c r="L93" s="4">
        <v>10</v>
      </c>
      <c r="M93" s="11">
        <f t="shared" si="14"/>
        <v>0.4</v>
      </c>
      <c r="N93" s="4">
        <v>9</v>
      </c>
      <c r="O93" s="11">
        <f t="shared" si="15"/>
        <v>0.9</v>
      </c>
      <c r="P93" s="4">
        <v>11</v>
      </c>
      <c r="Q93" s="11">
        <f t="shared" si="16"/>
        <v>0.31428571428571428</v>
      </c>
      <c r="R93" s="4">
        <v>7</v>
      </c>
      <c r="S93" s="11">
        <f t="shared" si="17"/>
        <v>0.23333333333333334</v>
      </c>
      <c r="T93" s="4">
        <f t="shared" si="18"/>
        <v>37</v>
      </c>
      <c r="U93" s="11">
        <f t="shared" si="19"/>
        <v>0.37</v>
      </c>
      <c r="V93" s="13" t="str">
        <f t="shared" si="20"/>
        <v>INGRESÓ</v>
      </c>
      <c r="W93" s="13" t="s">
        <v>88</v>
      </c>
      <c r="X93" s="14">
        <v>45745</v>
      </c>
      <c r="Y93" s="13" t="s">
        <v>96</v>
      </c>
      <c r="Z93" s="13" t="e">
        <f>VLOOKUP(D93,Datos!$A$1:$C$256,3,FALSE)</f>
        <v>#N/A</v>
      </c>
    </row>
    <row r="94" spans="1:26" hidden="1" x14ac:dyDescent="0.25">
      <c r="A94" s="4">
        <v>25</v>
      </c>
      <c r="B94" s="12" t="e">
        <f>VLOOKUP(D94,Datos!$A$1:$H$256,4,FALSE)</f>
        <v>#N/A</v>
      </c>
      <c r="C94" s="12" t="e">
        <f>VLOOKUP(D94,Datos!$A$1:$H$256,5,FALSE)</f>
        <v>#N/A</v>
      </c>
      <c r="D94" s="4">
        <v>61298006</v>
      </c>
      <c r="E94" s="12" t="e">
        <f>VLOOKUP(D94,Datos!$A$1:$H$256,6,FALSE)</f>
        <v>#N/A</v>
      </c>
      <c r="F94" s="12" t="e">
        <f>VLOOKUP(D94,Datos!$A$1:$H$256,7,FALSE)</f>
        <v>#N/A</v>
      </c>
      <c r="G94" s="12" t="e">
        <f>VLOOKUP(D94,Datos!$A$1:$H$256,8,FALSE)</f>
        <v>#N/A</v>
      </c>
      <c r="H94" s="4" t="s">
        <v>39</v>
      </c>
      <c r="I94" s="4" t="s">
        <v>34</v>
      </c>
      <c r="J94" s="12" t="s">
        <v>42</v>
      </c>
      <c r="K94" s="4" t="s">
        <v>90</v>
      </c>
      <c r="L94" s="4">
        <v>7</v>
      </c>
      <c r="M94" s="11">
        <f t="shared" si="14"/>
        <v>0.28000000000000003</v>
      </c>
      <c r="N94" s="4">
        <v>3</v>
      </c>
      <c r="O94" s="11">
        <f t="shared" si="15"/>
        <v>0.3</v>
      </c>
      <c r="P94" s="4">
        <v>9</v>
      </c>
      <c r="Q94" s="11">
        <f t="shared" si="16"/>
        <v>0.25714285714285712</v>
      </c>
      <c r="R94" s="4">
        <v>6</v>
      </c>
      <c r="S94" s="11">
        <f t="shared" si="17"/>
        <v>0.2</v>
      </c>
      <c r="T94" s="4">
        <f t="shared" si="18"/>
        <v>25</v>
      </c>
      <c r="U94" s="11">
        <f t="shared" si="19"/>
        <v>0.25</v>
      </c>
      <c r="V94" s="13" t="str">
        <f t="shared" si="20"/>
        <v>INGRESÓ</v>
      </c>
      <c r="W94" s="13" t="s">
        <v>88</v>
      </c>
      <c r="X94" s="14">
        <v>45745</v>
      </c>
      <c r="Y94" s="13" t="s">
        <v>96</v>
      </c>
      <c r="Z94" s="13" t="e">
        <f>VLOOKUP(D94,Datos!$A$1:$C$256,3,FALSE)</f>
        <v>#N/A</v>
      </c>
    </row>
    <row r="95" spans="1:26" hidden="1" x14ac:dyDescent="0.25">
      <c r="A95" s="4">
        <v>26</v>
      </c>
      <c r="B95" s="12" t="e">
        <f>VLOOKUP(D95,Datos!$A$1:$H$256,4,FALSE)</f>
        <v>#N/A</v>
      </c>
      <c r="C95" s="12" t="e">
        <f>VLOOKUP(D95,Datos!$A$1:$H$256,5,FALSE)</f>
        <v>#N/A</v>
      </c>
      <c r="D95" s="4">
        <v>3051506</v>
      </c>
      <c r="E95" s="12" t="e">
        <f>VLOOKUP(D95,Datos!$A$1:$H$256,6,FALSE)</f>
        <v>#N/A</v>
      </c>
      <c r="F95" s="12" t="e">
        <f>VLOOKUP(D95,Datos!$A$1:$H$256,7,FALSE)</f>
        <v>#N/A</v>
      </c>
      <c r="G95" s="12" t="e">
        <f>VLOOKUP(D95,Datos!$A$1:$H$256,8,FALSE)</f>
        <v>#N/A</v>
      </c>
      <c r="H95" s="4" t="s">
        <v>39</v>
      </c>
      <c r="I95" s="4" t="s">
        <v>99</v>
      </c>
      <c r="J95" s="12" t="s">
        <v>42</v>
      </c>
      <c r="K95" s="4" t="s">
        <v>90</v>
      </c>
      <c r="L95" s="4">
        <v>7</v>
      </c>
      <c r="M95" s="11">
        <f t="shared" si="14"/>
        <v>0.28000000000000003</v>
      </c>
      <c r="N95" s="4">
        <v>10</v>
      </c>
      <c r="O95" s="11">
        <f t="shared" si="15"/>
        <v>1</v>
      </c>
      <c r="P95" s="4">
        <v>7</v>
      </c>
      <c r="Q95" s="11">
        <f t="shared" si="16"/>
        <v>0.2</v>
      </c>
      <c r="R95" s="4">
        <v>8</v>
      </c>
      <c r="S95" s="11">
        <f t="shared" si="17"/>
        <v>0.26666666666666666</v>
      </c>
      <c r="T95" s="4">
        <f t="shared" si="18"/>
        <v>32</v>
      </c>
      <c r="U95" s="11">
        <f t="shared" si="19"/>
        <v>0.32</v>
      </c>
      <c r="V95" s="13" t="str">
        <f t="shared" si="20"/>
        <v>INGRESÓ</v>
      </c>
      <c r="W95" s="13" t="s">
        <v>88</v>
      </c>
      <c r="X95" s="14">
        <v>45745</v>
      </c>
      <c r="Y95" s="13" t="s">
        <v>96</v>
      </c>
      <c r="Z95" s="13" t="e">
        <f>VLOOKUP(D95,Datos!$A$1:$C$256,3,FALSE)</f>
        <v>#N/A</v>
      </c>
    </row>
    <row r="96" spans="1:26" hidden="1" x14ac:dyDescent="0.25">
      <c r="A96" s="4">
        <v>27</v>
      </c>
      <c r="B96" s="12" t="e">
        <f>VLOOKUP(D96,Datos!$A$1:$H$256,4,FALSE)</f>
        <v>#N/A</v>
      </c>
      <c r="C96" s="12" t="e">
        <f>VLOOKUP(D96,Datos!$A$1:$H$256,5,FALSE)</f>
        <v>#N/A</v>
      </c>
      <c r="D96" s="4">
        <v>60070936</v>
      </c>
      <c r="E96" s="12" t="e">
        <f>VLOOKUP(D96,Datos!$A$1:$H$256,6,FALSE)</f>
        <v>#N/A</v>
      </c>
      <c r="F96" s="12" t="e">
        <f>VLOOKUP(D96,Datos!$A$1:$H$256,7,FALSE)</f>
        <v>#N/A</v>
      </c>
      <c r="G96" s="12" t="e">
        <f>VLOOKUP(D96,Datos!$A$1:$H$256,8,FALSE)</f>
        <v>#N/A</v>
      </c>
      <c r="H96" s="4" t="s">
        <v>39</v>
      </c>
      <c r="I96" s="4" t="s">
        <v>34</v>
      </c>
      <c r="J96" s="12" t="s">
        <v>42</v>
      </c>
      <c r="K96" s="4" t="s">
        <v>90</v>
      </c>
      <c r="L96" s="4">
        <v>3</v>
      </c>
      <c r="M96" s="11">
        <f t="shared" si="14"/>
        <v>0.12</v>
      </c>
      <c r="N96" s="4">
        <v>8</v>
      </c>
      <c r="O96" s="11">
        <f t="shared" si="15"/>
        <v>0.8</v>
      </c>
      <c r="P96" s="4">
        <v>8</v>
      </c>
      <c r="Q96" s="11">
        <f t="shared" si="16"/>
        <v>0.22857142857142856</v>
      </c>
      <c r="R96" s="4">
        <v>6</v>
      </c>
      <c r="S96" s="11">
        <f t="shared" si="17"/>
        <v>0.2</v>
      </c>
      <c r="T96" s="4">
        <f t="shared" si="18"/>
        <v>25</v>
      </c>
      <c r="U96" s="11">
        <f t="shared" si="19"/>
        <v>0.25</v>
      </c>
      <c r="V96" s="13" t="str">
        <f t="shared" si="20"/>
        <v>INGRESÓ</v>
      </c>
      <c r="W96" s="13" t="s">
        <v>88</v>
      </c>
      <c r="X96" s="14">
        <v>45745</v>
      </c>
      <c r="Y96" s="13" t="s">
        <v>96</v>
      </c>
      <c r="Z96" s="13" t="e">
        <f>VLOOKUP(D96,Datos!$A$1:$C$256,3,FALSE)</f>
        <v>#N/A</v>
      </c>
    </row>
    <row r="97" spans="1:26" hidden="1" x14ac:dyDescent="0.25">
      <c r="A97" s="4">
        <v>28</v>
      </c>
      <c r="B97" s="12" t="e">
        <f>VLOOKUP(D97,Datos!$A$1:$H$256,4,FALSE)</f>
        <v>#N/A</v>
      </c>
      <c r="C97" s="12" t="e">
        <f>VLOOKUP(D97,Datos!$A$1:$H$256,5,FALSE)</f>
        <v>#N/A</v>
      </c>
      <c r="D97" s="4">
        <v>61298406</v>
      </c>
      <c r="E97" s="12" t="e">
        <f>VLOOKUP(D97,Datos!$A$1:$H$256,6,FALSE)</f>
        <v>#N/A</v>
      </c>
      <c r="F97" s="12" t="e">
        <f>VLOOKUP(D97,Datos!$A$1:$H$256,7,FALSE)</f>
        <v>#N/A</v>
      </c>
      <c r="G97" s="12" t="e">
        <f>VLOOKUP(D97,Datos!$A$1:$H$256,8,FALSE)</f>
        <v>#N/A</v>
      </c>
      <c r="H97" s="4" t="s">
        <v>39</v>
      </c>
      <c r="I97" s="4" t="s">
        <v>34</v>
      </c>
      <c r="J97" s="12" t="s">
        <v>42</v>
      </c>
      <c r="K97" s="4" t="s">
        <v>90</v>
      </c>
      <c r="L97" s="4">
        <v>7</v>
      </c>
      <c r="M97" s="11">
        <f t="shared" si="14"/>
        <v>0.28000000000000003</v>
      </c>
      <c r="N97" s="4">
        <v>9</v>
      </c>
      <c r="O97" s="11">
        <f t="shared" si="15"/>
        <v>0.9</v>
      </c>
      <c r="P97" s="4">
        <v>7</v>
      </c>
      <c r="Q97" s="11">
        <f t="shared" si="16"/>
        <v>0.2</v>
      </c>
      <c r="R97" s="4">
        <v>9</v>
      </c>
      <c r="S97" s="11">
        <f t="shared" si="17"/>
        <v>0.3</v>
      </c>
      <c r="T97" s="4">
        <f t="shared" si="18"/>
        <v>32</v>
      </c>
      <c r="U97" s="11">
        <f t="shared" si="19"/>
        <v>0.32</v>
      </c>
      <c r="V97" s="13" t="str">
        <f t="shared" si="20"/>
        <v>INGRESÓ</v>
      </c>
      <c r="W97" s="13" t="s">
        <v>88</v>
      </c>
      <c r="X97" s="14">
        <v>45745</v>
      </c>
      <c r="Y97" s="13" t="s">
        <v>96</v>
      </c>
      <c r="Z97" s="13" t="e">
        <f>VLOOKUP(D97,Datos!$A$1:$C$256,3,FALSE)</f>
        <v>#N/A</v>
      </c>
    </row>
    <row r="98" spans="1:26" hidden="1" x14ac:dyDescent="0.25">
      <c r="A98" s="4">
        <v>29</v>
      </c>
      <c r="B98" s="12" t="e">
        <f>VLOOKUP(D98,Datos!$A$1:$H$256,4,FALSE)</f>
        <v>#N/A</v>
      </c>
      <c r="C98" s="12" t="e">
        <f>VLOOKUP(D98,Datos!$A$1:$H$256,5,FALSE)</f>
        <v>#N/A</v>
      </c>
      <c r="D98" s="4">
        <v>61347529</v>
      </c>
      <c r="E98" s="12" t="e">
        <f>VLOOKUP(D98,Datos!$A$1:$H$256,6,FALSE)</f>
        <v>#N/A</v>
      </c>
      <c r="F98" s="12" t="e">
        <f>VLOOKUP(D98,Datos!$A$1:$H$256,7,FALSE)</f>
        <v>#N/A</v>
      </c>
      <c r="G98" s="12" t="e">
        <f>VLOOKUP(D98,Datos!$A$1:$H$256,8,FALSE)</f>
        <v>#N/A</v>
      </c>
      <c r="H98" s="4" t="s">
        <v>39</v>
      </c>
      <c r="I98" s="4" t="s">
        <v>100</v>
      </c>
      <c r="J98" s="12" t="s">
        <v>42</v>
      </c>
      <c r="K98" s="4" t="s">
        <v>90</v>
      </c>
      <c r="L98" s="4">
        <v>10</v>
      </c>
      <c r="M98" s="11">
        <f t="shared" si="14"/>
        <v>0.4</v>
      </c>
      <c r="N98" s="4">
        <v>6</v>
      </c>
      <c r="O98" s="11">
        <f t="shared" si="15"/>
        <v>0.6</v>
      </c>
      <c r="P98" s="4">
        <v>14</v>
      </c>
      <c r="Q98" s="11">
        <f t="shared" si="16"/>
        <v>0.4</v>
      </c>
      <c r="R98" s="4">
        <v>5</v>
      </c>
      <c r="S98" s="11">
        <f t="shared" si="17"/>
        <v>0.16666666666666666</v>
      </c>
      <c r="T98" s="4">
        <f t="shared" si="18"/>
        <v>35</v>
      </c>
      <c r="U98" s="11">
        <f t="shared" si="19"/>
        <v>0.35</v>
      </c>
      <c r="V98" s="13" t="str">
        <f t="shared" si="20"/>
        <v>INGRESÓ</v>
      </c>
      <c r="W98" s="13" t="s">
        <v>88</v>
      </c>
      <c r="X98" s="14">
        <v>45745</v>
      </c>
      <c r="Y98" s="13" t="s">
        <v>96</v>
      </c>
      <c r="Z98" s="13" t="e">
        <f>VLOOKUP(D98,Datos!$A$1:$C$256,3,FALSE)</f>
        <v>#N/A</v>
      </c>
    </row>
    <row r="99" spans="1:26" hidden="1" x14ac:dyDescent="0.25">
      <c r="A99" s="4">
        <v>30</v>
      </c>
      <c r="B99" s="12" t="e">
        <f>VLOOKUP(D99,Datos!$A$1:$H$256,4,FALSE)</f>
        <v>#N/A</v>
      </c>
      <c r="C99" s="12" t="e">
        <f>VLOOKUP(D99,Datos!$A$1:$H$256,5,FALSE)</f>
        <v>#N/A</v>
      </c>
      <c r="D99" s="4">
        <v>61340838</v>
      </c>
      <c r="E99" s="12" t="e">
        <f>VLOOKUP(D99,Datos!$A$1:$H$256,6,FALSE)</f>
        <v>#N/A</v>
      </c>
      <c r="F99" s="12" t="e">
        <f>VLOOKUP(D99,Datos!$A$1:$H$256,7,FALSE)</f>
        <v>#N/A</v>
      </c>
      <c r="G99" s="12" t="e">
        <f>VLOOKUP(D99,Datos!$A$1:$H$256,8,FALSE)</f>
        <v>#N/A</v>
      </c>
      <c r="H99" s="4" t="s">
        <v>39</v>
      </c>
      <c r="I99" s="4" t="s">
        <v>34</v>
      </c>
      <c r="J99" s="12" t="s">
        <v>42</v>
      </c>
      <c r="K99" s="4" t="s">
        <v>90</v>
      </c>
      <c r="L99" s="4">
        <v>7</v>
      </c>
      <c r="M99" s="11">
        <f t="shared" si="14"/>
        <v>0.28000000000000003</v>
      </c>
      <c r="N99" s="4">
        <v>7</v>
      </c>
      <c r="O99" s="11">
        <f t="shared" si="15"/>
        <v>0.7</v>
      </c>
      <c r="P99" s="4">
        <v>13</v>
      </c>
      <c r="Q99" s="11">
        <f t="shared" si="16"/>
        <v>0.37142857142857144</v>
      </c>
      <c r="R99" s="4">
        <v>7</v>
      </c>
      <c r="S99" s="11">
        <f t="shared" si="17"/>
        <v>0.23333333333333334</v>
      </c>
      <c r="T99" s="4">
        <f t="shared" si="18"/>
        <v>34</v>
      </c>
      <c r="U99" s="11">
        <f t="shared" si="19"/>
        <v>0.34</v>
      </c>
      <c r="V99" s="13" t="str">
        <f t="shared" si="20"/>
        <v>INGRESÓ</v>
      </c>
      <c r="W99" s="13" t="s">
        <v>88</v>
      </c>
      <c r="X99" s="14">
        <v>45745</v>
      </c>
      <c r="Y99" s="13" t="s">
        <v>96</v>
      </c>
      <c r="Z99" s="13" t="e">
        <f>VLOOKUP(D99,Datos!$A$1:$C$256,3,FALSE)</f>
        <v>#N/A</v>
      </c>
    </row>
    <row r="100" spans="1:26" hidden="1" x14ac:dyDescent="0.25">
      <c r="A100" s="4">
        <v>31</v>
      </c>
      <c r="B100" s="12" t="e">
        <f>VLOOKUP(D100,Datos!$A$1:$H$256,4,FALSE)</f>
        <v>#N/A</v>
      </c>
      <c r="C100" s="12" t="e">
        <f>VLOOKUP(D100,Datos!$A$1:$H$256,5,FALSE)</f>
        <v>#N/A</v>
      </c>
      <c r="D100" s="4">
        <v>46746944</v>
      </c>
      <c r="E100" s="12" t="e">
        <f>VLOOKUP(D100,Datos!$A$1:$H$256,6,FALSE)</f>
        <v>#N/A</v>
      </c>
      <c r="F100" s="12" t="e">
        <f>VLOOKUP(D100,Datos!$A$1:$H$256,7,FALSE)</f>
        <v>#N/A</v>
      </c>
      <c r="G100" s="12" t="e">
        <f>VLOOKUP(D100,Datos!$A$1:$H$256,8,FALSE)</f>
        <v>#N/A</v>
      </c>
      <c r="H100" s="4" t="s">
        <v>39</v>
      </c>
      <c r="I100" s="4" t="s">
        <v>99</v>
      </c>
      <c r="J100" s="12" t="s">
        <v>42</v>
      </c>
      <c r="K100" s="4" t="s">
        <v>90</v>
      </c>
      <c r="L100" s="4">
        <v>5</v>
      </c>
      <c r="M100" s="11">
        <f t="shared" si="14"/>
        <v>0.2</v>
      </c>
      <c r="N100" s="4">
        <v>7</v>
      </c>
      <c r="O100" s="11">
        <f t="shared" si="15"/>
        <v>0.7</v>
      </c>
      <c r="P100" s="4">
        <v>13</v>
      </c>
      <c r="Q100" s="11">
        <f t="shared" si="16"/>
        <v>0.37142857142857144</v>
      </c>
      <c r="R100" s="4">
        <v>9</v>
      </c>
      <c r="S100" s="11">
        <f t="shared" si="17"/>
        <v>0.3</v>
      </c>
      <c r="T100" s="4">
        <f t="shared" si="18"/>
        <v>34</v>
      </c>
      <c r="U100" s="11">
        <f t="shared" si="19"/>
        <v>0.34</v>
      </c>
      <c r="V100" s="13" t="str">
        <f t="shared" si="20"/>
        <v>INGRESÓ</v>
      </c>
      <c r="W100" s="13" t="s">
        <v>88</v>
      </c>
      <c r="X100" s="14">
        <v>45745</v>
      </c>
      <c r="Y100" s="13" t="s">
        <v>96</v>
      </c>
      <c r="Z100" s="13" t="e">
        <f>VLOOKUP(D100,Datos!$A$1:$C$256,3,FALSE)</f>
        <v>#N/A</v>
      </c>
    </row>
    <row r="101" spans="1:26" hidden="1" x14ac:dyDescent="0.25">
      <c r="A101" s="4">
        <v>32</v>
      </c>
      <c r="B101" s="12" t="e">
        <f>VLOOKUP(D101,Datos!$A$1:$H$256,4,FALSE)</f>
        <v>#N/A</v>
      </c>
      <c r="C101" s="12" t="e">
        <f>VLOOKUP(D101,Datos!$A$1:$H$256,5,FALSE)</f>
        <v>#N/A</v>
      </c>
      <c r="D101" s="4">
        <v>44917908</v>
      </c>
      <c r="E101" s="12" t="e">
        <f>VLOOKUP(D101,Datos!$A$1:$H$256,6,FALSE)</f>
        <v>#N/A</v>
      </c>
      <c r="F101" s="12" t="e">
        <f>VLOOKUP(D101,Datos!$A$1:$H$256,7,FALSE)</f>
        <v>#N/A</v>
      </c>
      <c r="G101" s="12" t="e">
        <f>VLOOKUP(D101,Datos!$A$1:$H$256,8,FALSE)</f>
        <v>#N/A</v>
      </c>
      <c r="H101" s="4" t="s">
        <v>39</v>
      </c>
      <c r="I101" s="4" t="s">
        <v>99</v>
      </c>
      <c r="J101" s="12" t="s">
        <v>42</v>
      </c>
      <c r="K101" s="4" t="s">
        <v>90</v>
      </c>
      <c r="L101" s="4">
        <v>6</v>
      </c>
      <c r="M101" s="11">
        <f t="shared" si="14"/>
        <v>0.24</v>
      </c>
      <c r="N101" s="4">
        <v>5</v>
      </c>
      <c r="O101" s="11">
        <f t="shared" si="15"/>
        <v>0.5</v>
      </c>
      <c r="P101" s="4">
        <v>20</v>
      </c>
      <c r="Q101" s="11">
        <f t="shared" si="16"/>
        <v>0.5714285714285714</v>
      </c>
      <c r="R101" s="4">
        <v>9</v>
      </c>
      <c r="S101" s="11">
        <f t="shared" si="17"/>
        <v>0.3</v>
      </c>
      <c r="T101" s="4">
        <f t="shared" si="18"/>
        <v>40</v>
      </c>
      <c r="U101" s="11">
        <f t="shared" si="19"/>
        <v>0.4</v>
      </c>
      <c r="V101" s="13" t="str">
        <f t="shared" si="20"/>
        <v>INGRESÓ</v>
      </c>
      <c r="W101" s="13" t="s">
        <v>88</v>
      </c>
      <c r="X101" s="14">
        <v>45745</v>
      </c>
      <c r="Y101" s="13" t="s">
        <v>96</v>
      </c>
      <c r="Z101" s="13" t="e">
        <f>VLOOKUP(D101,Datos!$A$1:$C$256,3,FALSE)</f>
        <v>#N/A</v>
      </c>
    </row>
    <row r="102" spans="1:26" hidden="1" x14ac:dyDescent="0.25">
      <c r="A102" s="4">
        <v>33</v>
      </c>
      <c r="B102" s="12" t="e">
        <f>VLOOKUP(D102,Datos!$A$1:$H$256,4,FALSE)</f>
        <v>#N/A</v>
      </c>
      <c r="C102" s="12" t="e">
        <f>VLOOKUP(D102,Datos!$A$1:$H$256,5,FALSE)</f>
        <v>#N/A</v>
      </c>
      <c r="D102" s="4">
        <v>75211913</v>
      </c>
      <c r="E102" s="12" t="e">
        <f>VLOOKUP(D102,Datos!$A$1:$H$256,6,FALSE)</f>
        <v>#N/A</v>
      </c>
      <c r="F102" s="12" t="e">
        <f>VLOOKUP(D102,Datos!$A$1:$H$256,7,FALSE)</f>
        <v>#N/A</v>
      </c>
      <c r="G102" s="12" t="e">
        <f>VLOOKUP(D102,Datos!$A$1:$H$256,8,FALSE)</f>
        <v>#N/A</v>
      </c>
      <c r="H102" s="4" t="s">
        <v>39</v>
      </c>
      <c r="I102" s="4" t="s">
        <v>99</v>
      </c>
      <c r="J102" s="12" t="s">
        <v>42</v>
      </c>
      <c r="K102" s="4" t="s">
        <v>90</v>
      </c>
      <c r="L102" s="4">
        <v>8</v>
      </c>
      <c r="M102" s="11">
        <f t="shared" si="14"/>
        <v>0.32</v>
      </c>
      <c r="N102" s="4">
        <v>10</v>
      </c>
      <c r="O102" s="11">
        <f t="shared" si="15"/>
        <v>1</v>
      </c>
      <c r="P102" s="4">
        <v>22</v>
      </c>
      <c r="Q102" s="11">
        <f t="shared" si="16"/>
        <v>0.62857142857142856</v>
      </c>
      <c r="R102" s="4">
        <v>13</v>
      </c>
      <c r="S102" s="11">
        <f t="shared" si="17"/>
        <v>0.43333333333333335</v>
      </c>
      <c r="T102" s="4">
        <f t="shared" si="18"/>
        <v>53</v>
      </c>
      <c r="U102" s="11">
        <f t="shared" si="19"/>
        <v>0.53</v>
      </c>
      <c r="V102" s="13" t="str">
        <f t="shared" si="20"/>
        <v>INGRESÓ</v>
      </c>
      <c r="W102" s="13" t="s">
        <v>88</v>
      </c>
      <c r="X102" s="14">
        <v>45745</v>
      </c>
      <c r="Y102" s="13" t="s">
        <v>96</v>
      </c>
      <c r="Z102" s="13" t="e">
        <f>VLOOKUP(D102,Datos!$A$1:$C$256,3,FALSE)</f>
        <v>#N/A</v>
      </c>
    </row>
    <row r="103" spans="1:26" hidden="1" x14ac:dyDescent="0.25">
      <c r="A103" s="4">
        <v>34</v>
      </c>
      <c r="B103" s="12" t="e">
        <f>VLOOKUP(D103,Datos!$A$1:$H$256,4,FALSE)</f>
        <v>#N/A</v>
      </c>
      <c r="C103" s="12" t="e">
        <f>VLOOKUP(D103,Datos!$A$1:$H$256,5,FALSE)</f>
        <v>#N/A</v>
      </c>
      <c r="D103" s="4">
        <v>10409335</v>
      </c>
      <c r="E103" s="12" t="e">
        <f>VLOOKUP(D103,Datos!$A$1:$H$256,6,FALSE)</f>
        <v>#N/A</v>
      </c>
      <c r="F103" s="12" t="e">
        <f>VLOOKUP(D103,Datos!$A$1:$H$256,7,FALSE)</f>
        <v>#N/A</v>
      </c>
      <c r="G103" s="12" t="e">
        <f>VLOOKUP(D103,Datos!$A$1:$H$256,8,FALSE)</f>
        <v>#N/A</v>
      </c>
      <c r="H103" s="4" t="s">
        <v>39</v>
      </c>
      <c r="I103" s="4" t="s">
        <v>99</v>
      </c>
      <c r="J103" s="12" t="s">
        <v>42</v>
      </c>
      <c r="K103" s="4" t="s">
        <v>90</v>
      </c>
      <c r="L103" s="4">
        <v>8</v>
      </c>
      <c r="M103" s="11">
        <f t="shared" si="14"/>
        <v>0.32</v>
      </c>
      <c r="N103" s="4">
        <v>7</v>
      </c>
      <c r="O103" s="11">
        <f t="shared" si="15"/>
        <v>0.7</v>
      </c>
      <c r="P103" s="4">
        <v>4</v>
      </c>
      <c r="Q103" s="11">
        <f t="shared" si="16"/>
        <v>0.11428571428571428</v>
      </c>
      <c r="R103" s="4">
        <v>3</v>
      </c>
      <c r="S103" s="11">
        <f t="shared" si="17"/>
        <v>0.1</v>
      </c>
      <c r="T103" s="4">
        <f t="shared" si="18"/>
        <v>22</v>
      </c>
      <c r="U103" s="11">
        <f t="shared" si="19"/>
        <v>0.22</v>
      </c>
      <c r="V103" s="13" t="str">
        <f t="shared" si="20"/>
        <v>INGRESÓ</v>
      </c>
      <c r="W103" s="13" t="s">
        <v>88</v>
      </c>
      <c r="X103" s="14">
        <v>45745</v>
      </c>
      <c r="Y103" s="13" t="s">
        <v>96</v>
      </c>
      <c r="Z103" s="13" t="e">
        <f>VLOOKUP(D103,Datos!$A$1:$C$256,3,FALSE)</f>
        <v>#N/A</v>
      </c>
    </row>
    <row r="104" spans="1:26" hidden="1" x14ac:dyDescent="0.25">
      <c r="A104" s="4">
        <v>35</v>
      </c>
      <c r="B104" s="12" t="e">
        <f>VLOOKUP(D104,Datos!$A$1:$H$256,4,FALSE)</f>
        <v>#N/A</v>
      </c>
      <c r="C104" s="12" t="e">
        <f>VLOOKUP(D104,Datos!$A$1:$H$256,5,FALSE)</f>
        <v>#N/A</v>
      </c>
      <c r="D104" s="4">
        <v>40105102</v>
      </c>
      <c r="E104" s="12" t="e">
        <f>VLOOKUP(D104,Datos!$A$1:$H$256,6,FALSE)</f>
        <v>#N/A</v>
      </c>
      <c r="F104" s="12" t="e">
        <f>VLOOKUP(D104,Datos!$A$1:$H$256,7,FALSE)</f>
        <v>#N/A</v>
      </c>
      <c r="G104" s="12" t="e">
        <f>VLOOKUP(D104,Datos!$A$1:$H$256,8,FALSE)</f>
        <v>#N/A</v>
      </c>
      <c r="H104" s="4" t="s">
        <v>39</v>
      </c>
      <c r="I104" s="4" t="s">
        <v>99</v>
      </c>
      <c r="J104" s="12" t="s">
        <v>42</v>
      </c>
      <c r="K104" s="4" t="s">
        <v>90</v>
      </c>
      <c r="L104" s="4">
        <v>4</v>
      </c>
      <c r="M104" s="11">
        <f t="shared" si="14"/>
        <v>0.16</v>
      </c>
      <c r="N104" s="4">
        <v>8</v>
      </c>
      <c r="O104" s="11">
        <f t="shared" si="15"/>
        <v>0.8</v>
      </c>
      <c r="P104" s="4">
        <v>5</v>
      </c>
      <c r="Q104" s="11">
        <f t="shared" si="16"/>
        <v>0.14285714285714285</v>
      </c>
      <c r="R104" s="4">
        <v>9</v>
      </c>
      <c r="S104" s="11">
        <f t="shared" si="17"/>
        <v>0.3</v>
      </c>
      <c r="T104" s="4">
        <f t="shared" si="18"/>
        <v>26</v>
      </c>
      <c r="U104" s="11">
        <f t="shared" si="19"/>
        <v>0.26</v>
      </c>
      <c r="V104" s="13" t="str">
        <f t="shared" si="20"/>
        <v>INGRESÓ</v>
      </c>
      <c r="W104" s="13" t="s">
        <v>88</v>
      </c>
      <c r="X104" s="14">
        <v>45745</v>
      </c>
      <c r="Y104" s="13" t="s">
        <v>96</v>
      </c>
      <c r="Z104" s="13" t="e">
        <f>VLOOKUP(D104,Datos!$A$1:$C$256,3,FALSE)</f>
        <v>#N/A</v>
      </c>
    </row>
    <row r="105" spans="1:26" hidden="1" x14ac:dyDescent="0.25">
      <c r="A105" s="4">
        <v>36</v>
      </c>
      <c r="B105" s="12" t="e">
        <f>VLOOKUP(D105,Datos!$A$1:$H$256,4,FALSE)</f>
        <v>#N/A</v>
      </c>
      <c r="C105" s="12" t="e">
        <f>VLOOKUP(D105,Datos!$A$1:$H$256,5,FALSE)</f>
        <v>#N/A</v>
      </c>
      <c r="D105" s="4">
        <v>70252285</v>
      </c>
      <c r="E105" s="12" t="e">
        <f>VLOOKUP(D105,Datos!$A$1:$H$256,6,FALSE)</f>
        <v>#N/A</v>
      </c>
      <c r="F105" s="12" t="e">
        <f>VLOOKUP(D105,Datos!$A$1:$H$256,7,FALSE)</f>
        <v>#N/A</v>
      </c>
      <c r="G105" s="12" t="e">
        <f>VLOOKUP(D105,Datos!$A$1:$H$256,8,FALSE)</f>
        <v>#N/A</v>
      </c>
      <c r="H105" s="4" t="s">
        <v>39</v>
      </c>
      <c r="I105" s="4" t="s">
        <v>99</v>
      </c>
      <c r="J105" s="12" t="s">
        <v>42</v>
      </c>
      <c r="K105" s="4" t="s">
        <v>90</v>
      </c>
      <c r="L105" s="4">
        <v>12</v>
      </c>
      <c r="M105" s="11">
        <f t="shared" si="14"/>
        <v>0.48</v>
      </c>
      <c r="N105" s="4">
        <v>8</v>
      </c>
      <c r="O105" s="11">
        <f t="shared" si="15"/>
        <v>0.8</v>
      </c>
      <c r="P105" s="4">
        <v>8</v>
      </c>
      <c r="Q105" s="11">
        <f t="shared" si="16"/>
        <v>0.22857142857142856</v>
      </c>
      <c r="R105" s="4">
        <v>10</v>
      </c>
      <c r="S105" s="11">
        <f t="shared" si="17"/>
        <v>0.33333333333333331</v>
      </c>
      <c r="T105" s="4">
        <f t="shared" si="18"/>
        <v>38</v>
      </c>
      <c r="U105" s="11">
        <f t="shared" si="19"/>
        <v>0.38</v>
      </c>
      <c r="V105" s="13" t="str">
        <f t="shared" si="20"/>
        <v>INGRESÓ</v>
      </c>
      <c r="W105" s="13" t="s">
        <v>88</v>
      </c>
      <c r="X105" s="14">
        <v>45745</v>
      </c>
      <c r="Y105" s="13" t="s">
        <v>96</v>
      </c>
      <c r="Z105" s="13" t="e">
        <f>VLOOKUP(D105,Datos!$A$1:$C$256,3,FALSE)</f>
        <v>#N/A</v>
      </c>
    </row>
    <row r="106" spans="1:26" hidden="1" x14ac:dyDescent="0.25">
      <c r="A106" s="4">
        <v>37</v>
      </c>
      <c r="B106" s="12" t="e">
        <f>VLOOKUP(D106,Datos!$A$1:$H$256,4,FALSE)</f>
        <v>#N/A</v>
      </c>
      <c r="C106" s="12" t="e">
        <f>VLOOKUP(D106,Datos!$A$1:$H$256,5,FALSE)</f>
        <v>#N/A</v>
      </c>
      <c r="D106" s="4">
        <v>45702472</v>
      </c>
      <c r="E106" s="12" t="e">
        <f>VLOOKUP(D106,Datos!$A$1:$H$256,6,FALSE)</f>
        <v>#N/A</v>
      </c>
      <c r="F106" s="12" t="e">
        <f>VLOOKUP(D106,Datos!$A$1:$H$256,7,FALSE)</f>
        <v>#N/A</v>
      </c>
      <c r="G106" s="12" t="e">
        <f>VLOOKUP(D106,Datos!$A$1:$H$256,8,FALSE)</f>
        <v>#N/A</v>
      </c>
      <c r="H106" s="4" t="s">
        <v>39</v>
      </c>
      <c r="I106" s="4" t="s">
        <v>99</v>
      </c>
      <c r="J106" s="12" t="s">
        <v>42</v>
      </c>
      <c r="K106" s="4" t="s">
        <v>90</v>
      </c>
      <c r="L106" s="4">
        <v>17</v>
      </c>
      <c r="M106" s="11">
        <f t="shared" si="14"/>
        <v>0.68</v>
      </c>
      <c r="N106" s="4">
        <v>7</v>
      </c>
      <c r="O106" s="11">
        <f t="shared" si="15"/>
        <v>0.7</v>
      </c>
      <c r="P106" s="4">
        <v>18</v>
      </c>
      <c r="Q106" s="11">
        <f t="shared" si="16"/>
        <v>0.51428571428571423</v>
      </c>
      <c r="R106" s="4">
        <v>14</v>
      </c>
      <c r="S106" s="11">
        <f t="shared" si="17"/>
        <v>0.46666666666666667</v>
      </c>
      <c r="T106" s="4">
        <f t="shared" si="18"/>
        <v>56</v>
      </c>
      <c r="U106" s="11">
        <f t="shared" si="19"/>
        <v>0.56000000000000005</v>
      </c>
      <c r="V106" s="13" t="str">
        <f t="shared" si="20"/>
        <v>INGRESÓ</v>
      </c>
      <c r="W106" s="13" t="s">
        <v>88</v>
      </c>
      <c r="X106" s="14">
        <v>45745</v>
      </c>
      <c r="Y106" s="13" t="s">
        <v>96</v>
      </c>
      <c r="Z106" s="13" t="e">
        <f>VLOOKUP(D106,Datos!$A$1:$C$256,3,FALSE)</f>
        <v>#N/A</v>
      </c>
    </row>
    <row r="107" spans="1:26" hidden="1" x14ac:dyDescent="0.25">
      <c r="A107" s="4">
        <v>38</v>
      </c>
      <c r="B107" s="12" t="e">
        <f>VLOOKUP(D107,Datos!$A$1:$H$256,4,FALSE)</f>
        <v>#N/A</v>
      </c>
      <c r="C107" s="12" t="e">
        <f>VLOOKUP(D107,Datos!$A$1:$H$256,5,FALSE)</f>
        <v>#N/A</v>
      </c>
      <c r="D107" s="4">
        <v>61340912</v>
      </c>
      <c r="E107" s="12" t="e">
        <f>VLOOKUP(D107,Datos!$A$1:$H$256,6,FALSE)</f>
        <v>#N/A</v>
      </c>
      <c r="F107" s="12" t="e">
        <f>VLOOKUP(D107,Datos!$A$1:$H$256,7,FALSE)</f>
        <v>#N/A</v>
      </c>
      <c r="G107" s="12" t="e">
        <f>VLOOKUP(D107,Datos!$A$1:$H$256,8,FALSE)</f>
        <v>#N/A</v>
      </c>
      <c r="H107" s="4" t="s">
        <v>39</v>
      </c>
      <c r="I107" s="4" t="s">
        <v>34</v>
      </c>
      <c r="J107" s="12" t="s">
        <v>42</v>
      </c>
      <c r="K107" s="4" t="s">
        <v>90</v>
      </c>
      <c r="L107" s="4">
        <v>9</v>
      </c>
      <c r="M107" s="11">
        <f t="shared" si="14"/>
        <v>0.36</v>
      </c>
      <c r="N107" s="4">
        <v>9</v>
      </c>
      <c r="O107" s="11">
        <f t="shared" si="15"/>
        <v>0.9</v>
      </c>
      <c r="P107" s="4">
        <v>12</v>
      </c>
      <c r="Q107" s="11">
        <f t="shared" si="16"/>
        <v>0.34285714285714286</v>
      </c>
      <c r="R107" s="4">
        <v>10</v>
      </c>
      <c r="S107" s="11">
        <f t="shared" si="17"/>
        <v>0.33333333333333331</v>
      </c>
      <c r="T107" s="4">
        <f t="shared" si="18"/>
        <v>40</v>
      </c>
      <c r="U107" s="11">
        <f t="shared" si="19"/>
        <v>0.4</v>
      </c>
      <c r="V107" s="13" t="str">
        <f t="shared" si="20"/>
        <v>INGRESÓ</v>
      </c>
      <c r="W107" s="13" t="s">
        <v>88</v>
      </c>
      <c r="X107" s="14">
        <v>45745</v>
      </c>
      <c r="Y107" s="13" t="s">
        <v>96</v>
      </c>
      <c r="Z107" s="13" t="e">
        <f>VLOOKUP(D107,Datos!$A$1:$C$256,3,FALSE)</f>
        <v>#N/A</v>
      </c>
    </row>
    <row r="108" spans="1:26" hidden="1" x14ac:dyDescent="0.25">
      <c r="A108" s="4">
        <v>39</v>
      </c>
      <c r="B108" s="12" t="e">
        <f>VLOOKUP(D108,Datos!$A$1:$H$256,4,FALSE)</f>
        <v>#N/A</v>
      </c>
      <c r="C108" s="12" t="e">
        <f>VLOOKUP(D108,Datos!$A$1:$H$256,5,FALSE)</f>
        <v>#N/A</v>
      </c>
      <c r="D108" s="4">
        <v>72389570</v>
      </c>
      <c r="E108" s="12" t="e">
        <f>VLOOKUP(D108,Datos!$A$1:$H$256,6,FALSE)</f>
        <v>#N/A</v>
      </c>
      <c r="F108" s="12" t="e">
        <f>VLOOKUP(D108,Datos!$A$1:$H$256,7,FALSE)</f>
        <v>#N/A</v>
      </c>
      <c r="G108" s="12" t="e">
        <f>VLOOKUP(D108,Datos!$A$1:$H$256,8,FALSE)</f>
        <v>#N/A</v>
      </c>
      <c r="H108" s="4" t="s">
        <v>39</v>
      </c>
      <c r="I108" s="4" t="s">
        <v>34</v>
      </c>
      <c r="J108" s="12" t="s">
        <v>42</v>
      </c>
      <c r="K108" s="4" t="s">
        <v>90</v>
      </c>
      <c r="L108" s="4">
        <v>12</v>
      </c>
      <c r="M108" s="11">
        <f t="shared" si="14"/>
        <v>0.48</v>
      </c>
      <c r="N108" s="4">
        <v>8</v>
      </c>
      <c r="O108" s="11">
        <f t="shared" si="15"/>
        <v>0.8</v>
      </c>
      <c r="P108" s="4">
        <v>7</v>
      </c>
      <c r="Q108" s="11">
        <f t="shared" si="16"/>
        <v>0.2</v>
      </c>
      <c r="R108" s="4">
        <v>4</v>
      </c>
      <c r="S108" s="11">
        <f t="shared" si="17"/>
        <v>0.13333333333333333</v>
      </c>
      <c r="T108" s="4">
        <f t="shared" si="18"/>
        <v>31</v>
      </c>
      <c r="U108" s="11">
        <f t="shared" si="19"/>
        <v>0.31</v>
      </c>
      <c r="V108" s="13" t="str">
        <f t="shared" si="20"/>
        <v>INGRESÓ</v>
      </c>
      <c r="W108" s="13" t="s">
        <v>88</v>
      </c>
      <c r="X108" s="14">
        <v>45745</v>
      </c>
      <c r="Y108" s="13" t="s">
        <v>96</v>
      </c>
      <c r="Z108" s="13" t="e">
        <f>VLOOKUP(D108,Datos!$A$1:$C$256,3,FALSE)</f>
        <v>#N/A</v>
      </c>
    </row>
    <row r="109" spans="1:26" hidden="1" x14ac:dyDescent="0.25">
      <c r="A109" s="4">
        <v>40</v>
      </c>
      <c r="B109" s="12" t="e">
        <f>VLOOKUP(D109,Datos!$A$1:$H$256,4,FALSE)</f>
        <v>#N/A</v>
      </c>
      <c r="C109" s="12" t="e">
        <f>VLOOKUP(D109,Datos!$A$1:$H$256,5,FALSE)</f>
        <v>#N/A</v>
      </c>
      <c r="D109" s="4">
        <v>45450961</v>
      </c>
      <c r="E109" s="12" t="e">
        <f>VLOOKUP(D109,Datos!$A$1:$H$256,6,FALSE)</f>
        <v>#N/A</v>
      </c>
      <c r="F109" s="12" t="e">
        <f>VLOOKUP(D109,Datos!$A$1:$H$256,7,FALSE)</f>
        <v>#N/A</v>
      </c>
      <c r="G109" s="12" t="e">
        <f>VLOOKUP(D109,Datos!$A$1:$H$256,8,FALSE)</f>
        <v>#N/A</v>
      </c>
      <c r="H109" s="4" t="s">
        <v>39</v>
      </c>
      <c r="I109" s="4" t="s">
        <v>99</v>
      </c>
      <c r="J109" s="12" t="s">
        <v>42</v>
      </c>
      <c r="K109" s="4" t="s">
        <v>90</v>
      </c>
      <c r="L109" s="4">
        <v>10</v>
      </c>
      <c r="M109" s="11">
        <f t="shared" si="14"/>
        <v>0.4</v>
      </c>
      <c r="N109" s="4">
        <v>9</v>
      </c>
      <c r="O109" s="11">
        <f t="shared" si="15"/>
        <v>0.9</v>
      </c>
      <c r="P109" s="4">
        <v>11</v>
      </c>
      <c r="Q109" s="11">
        <f t="shared" si="16"/>
        <v>0.31428571428571428</v>
      </c>
      <c r="R109" s="4">
        <v>11</v>
      </c>
      <c r="S109" s="11">
        <f t="shared" si="17"/>
        <v>0.36666666666666664</v>
      </c>
      <c r="T109" s="4">
        <f t="shared" si="18"/>
        <v>41</v>
      </c>
      <c r="U109" s="11">
        <f t="shared" si="19"/>
        <v>0.41</v>
      </c>
      <c r="V109" s="13" t="str">
        <f t="shared" si="20"/>
        <v>INGRESÓ</v>
      </c>
      <c r="W109" s="13" t="s">
        <v>88</v>
      </c>
      <c r="X109" s="14">
        <v>45745</v>
      </c>
      <c r="Y109" s="13" t="s">
        <v>96</v>
      </c>
      <c r="Z109" s="13" t="e">
        <f>VLOOKUP(D109,Datos!$A$1:$C$256,3,FALSE)</f>
        <v>#N/A</v>
      </c>
    </row>
    <row r="110" spans="1:26" hidden="1" x14ac:dyDescent="0.25">
      <c r="A110" s="4">
        <v>41</v>
      </c>
      <c r="B110" s="12" t="e">
        <f>VLOOKUP(D110,Datos!$A$1:$H$256,4,FALSE)</f>
        <v>#N/A</v>
      </c>
      <c r="C110" s="12" t="e">
        <f>VLOOKUP(D110,Datos!$A$1:$H$256,5,FALSE)</f>
        <v>#N/A</v>
      </c>
      <c r="D110" s="4">
        <v>73390606</v>
      </c>
      <c r="E110" s="12" t="e">
        <f>VLOOKUP(D110,Datos!$A$1:$H$256,6,FALSE)</f>
        <v>#N/A</v>
      </c>
      <c r="F110" s="12" t="e">
        <f>VLOOKUP(D110,Datos!$A$1:$H$256,7,FALSE)</f>
        <v>#N/A</v>
      </c>
      <c r="G110" s="12" t="e">
        <f>VLOOKUP(D110,Datos!$A$1:$H$256,8,FALSE)</f>
        <v>#N/A</v>
      </c>
      <c r="H110" s="4" t="s">
        <v>39</v>
      </c>
      <c r="I110" s="4" t="s">
        <v>100</v>
      </c>
      <c r="J110" s="12" t="s">
        <v>42</v>
      </c>
      <c r="K110" s="4" t="s">
        <v>90</v>
      </c>
      <c r="L110" s="4">
        <v>9</v>
      </c>
      <c r="M110" s="11">
        <f t="shared" si="14"/>
        <v>0.36</v>
      </c>
      <c r="N110" s="4">
        <v>10</v>
      </c>
      <c r="O110" s="11">
        <f t="shared" si="15"/>
        <v>1</v>
      </c>
      <c r="P110" s="4">
        <v>16</v>
      </c>
      <c r="Q110" s="11">
        <f t="shared" si="16"/>
        <v>0.45714285714285713</v>
      </c>
      <c r="R110" s="4">
        <v>11</v>
      </c>
      <c r="S110" s="11">
        <f t="shared" si="17"/>
        <v>0.36666666666666664</v>
      </c>
      <c r="T110" s="4">
        <f t="shared" si="18"/>
        <v>46</v>
      </c>
      <c r="U110" s="11">
        <f t="shared" si="19"/>
        <v>0.46</v>
      </c>
      <c r="V110" s="13" t="str">
        <f t="shared" si="20"/>
        <v>INGRESÓ</v>
      </c>
      <c r="W110" s="13" t="s">
        <v>88</v>
      </c>
      <c r="X110" s="14">
        <v>45745</v>
      </c>
      <c r="Y110" s="13" t="s">
        <v>96</v>
      </c>
      <c r="Z110" s="13" t="e">
        <f>VLOOKUP(D110,Datos!$A$1:$C$256,3,FALSE)</f>
        <v>#N/A</v>
      </c>
    </row>
    <row r="111" spans="1:26" hidden="1" x14ac:dyDescent="0.25">
      <c r="A111" s="4">
        <v>42</v>
      </c>
      <c r="B111" s="12" t="e">
        <f>VLOOKUP(D111,Datos!$A$1:$H$256,4,FALSE)</f>
        <v>#N/A</v>
      </c>
      <c r="C111" s="12" t="e">
        <f>VLOOKUP(D111,Datos!$A$1:$H$256,5,FALSE)</f>
        <v>#N/A</v>
      </c>
      <c r="D111" s="4">
        <v>46717185</v>
      </c>
      <c r="E111" s="12" t="e">
        <f>VLOOKUP(D111,Datos!$A$1:$H$256,6,FALSE)</f>
        <v>#N/A</v>
      </c>
      <c r="F111" s="12" t="e">
        <f>VLOOKUP(D111,Datos!$A$1:$H$256,7,FALSE)</f>
        <v>#N/A</v>
      </c>
      <c r="G111" s="12" t="e">
        <f>VLOOKUP(D111,Datos!$A$1:$H$256,8,FALSE)</f>
        <v>#N/A</v>
      </c>
      <c r="H111" s="4" t="s">
        <v>39</v>
      </c>
      <c r="I111" s="4" t="s">
        <v>99</v>
      </c>
      <c r="J111" s="12" t="s">
        <v>42</v>
      </c>
      <c r="K111" s="4" t="s">
        <v>90</v>
      </c>
      <c r="L111" s="4">
        <v>10</v>
      </c>
      <c r="M111" s="11">
        <f t="shared" si="14"/>
        <v>0.4</v>
      </c>
      <c r="N111" s="4">
        <v>10</v>
      </c>
      <c r="O111" s="11">
        <f t="shared" si="15"/>
        <v>1</v>
      </c>
      <c r="P111" s="4">
        <v>24</v>
      </c>
      <c r="Q111" s="11">
        <f t="shared" si="16"/>
        <v>0.68571428571428572</v>
      </c>
      <c r="R111" s="4">
        <v>10</v>
      </c>
      <c r="S111" s="11">
        <f t="shared" si="17"/>
        <v>0.33333333333333331</v>
      </c>
      <c r="T111" s="4">
        <f t="shared" si="18"/>
        <v>54</v>
      </c>
      <c r="U111" s="11">
        <f t="shared" si="19"/>
        <v>0.54</v>
      </c>
      <c r="V111" s="13" t="str">
        <f t="shared" si="20"/>
        <v>INGRESÓ</v>
      </c>
      <c r="W111" s="13" t="s">
        <v>88</v>
      </c>
      <c r="X111" s="14">
        <v>45745</v>
      </c>
      <c r="Y111" s="13" t="s">
        <v>96</v>
      </c>
      <c r="Z111" s="13" t="e">
        <f>VLOOKUP(D111,Datos!$A$1:$C$256,3,FALSE)</f>
        <v>#N/A</v>
      </c>
    </row>
    <row r="112" spans="1:26" hidden="1" x14ac:dyDescent="0.25">
      <c r="A112" s="4">
        <v>43</v>
      </c>
      <c r="B112" s="12" t="e">
        <f>VLOOKUP(D112,Datos!$A$1:$H$256,4,FALSE)</f>
        <v>#N/A</v>
      </c>
      <c r="C112" s="12" t="e">
        <f>VLOOKUP(D112,Datos!$A$1:$H$256,5,FALSE)</f>
        <v>#N/A</v>
      </c>
      <c r="D112" s="4">
        <v>72793043</v>
      </c>
      <c r="E112" s="12" t="e">
        <f>VLOOKUP(D112,Datos!$A$1:$H$256,6,FALSE)</f>
        <v>#N/A</v>
      </c>
      <c r="F112" s="12" t="e">
        <f>VLOOKUP(D112,Datos!$A$1:$H$256,7,FALSE)</f>
        <v>#N/A</v>
      </c>
      <c r="G112" s="12" t="e">
        <f>VLOOKUP(D112,Datos!$A$1:$H$256,8,FALSE)</f>
        <v>#N/A</v>
      </c>
      <c r="H112" s="4" t="s">
        <v>39</v>
      </c>
      <c r="I112" s="4" t="s">
        <v>27</v>
      </c>
      <c r="J112" s="12" t="s">
        <v>42</v>
      </c>
      <c r="K112" s="4" t="s">
        <v>90</v>
      </c>
      <c r="L112" s="4">
        <v>9</v>
      </c>
      <c r="M112" s="11">
        <f t="shared" si="14"/>
        <v>0.36</v>
      </c>
      <c r="N112" s="4">
        <v>9</v>
      </c>
      <c r="O112" s="11">
        <f t="shared" si="15"/>
        <v>0.9</v>
      </c>
      <c r="P112" s="4">
        <v>11</v>
      </c>
      <c r="Q112" s="11">
        <f t="shared" si="16"/>
        <v>0.31428571428571428</v>
      </c>
      <c r="R112" s="4">
        <v>10</v>
      </c>
      <c r="S112" s="11">
        <f t="shared" si="17"/>
        <v>0.33333333333333331</v>
      </c>
      <c r="T112" s="4">
        <f t="shared" si="18"/>
        <v>39</v>
      </c>
      <c r="U112" s="11">
        <f t="shared" si="19"/>
        <v>0.39</v>
      </c>
      <c r="V112" s="13" t="str">
        <f t="shared" si="20"/>
        <v>INGRESÓ</v>
      </c>
      <c r="W112" s="13" t="s">
        <v>88</v>
      </c>
      <c r="X112" s="14">
        <v>45745</v>
      </c>
      <c r="Y112" s="13" t="s">
        <v>96</v>
      </c>
      <c r="Z112" s="13" t="e">
        <f>VLOOKUP(D112,Datos!$A$1:$C$256,3,FALSE)</f>
        <v>#N/A</v>
      </c>
    </row>
    <row r="113" spans="1:26" hidden="1" x14ac:dyDescent="0.25">
      <c r="A113" s="4">
        <v>44</v>
      </c>
      <c r="B113" s="12" t="e">
        <f>VLOOKUP(D113,Datos!$A$1:$H$256,4,FALSE)</f>
        <v>#N/A</v>
      </c>
      <c r="C113" s="12" t="e">
        <f>VLOOKUP(D113,Datos!$A$1:$H$256,5,FALSE)</f>
        <v>#N/A</v>
      </c>
      <c r="D113" s="4">
        <v>42457195</v>
      </c>
      <c r="E113" s="12" t="e">
        <f>VLOOKUP(D113,Datos!$A$1:$H$256,6,FALSE)</f>
        <v>#N/A</v>
      </c>
      <c r="F113" s="12" t="e">
        <f>VLOOKUP(D113,Datos!$A$1:$H$256,7,FALSE)</f>
        <v>#N/A</v>
      </c>
      <c r="G113" s="12" t="e">
        <f>VLOOKUP(D113,Datos!$A$1:$H$256,8,FALSE)</f>
        <v>#N/A</v>
      </c>
      <c r="H113" s="4" t="s">
        <v>39</v>
      </c>
      <c r="I113" s="4" t="s">
        <v>99</v>
      </c>
      <c r="J113" s="12" t="s">
        <v>42</v>
      </c>
      <c r="K113" s="4" t="s">
        <v>90</v>
      </c>
      <c r="L113" s="4">
        <v>18</v>
      </c>
      <c r="M113" s="11">
        <f t="shared" si="14"/>
        <v>0.72</v>
      </c>
      <c r="N113" s="4">
        <v>9</v>
      </c>
      <c r="O113" s="11">
        <f t="shared" si="15"/>
        <v>0.9</v>
      </c>
      <c r="P113" s="4">
        <v>20</v>
      </c>
      <c r="Q113" s="11">
        <f t="shared" si="16"/>
        <v>0.5714285714285714</v>
      </c>
      <c r="R113" s="4">
        <v>21</v>
      </c>
      <c r="S113" s="11">
        <f t="shared" si="17"/>
        <v>0.7</v>
      </c>
      <c r="T113" s="4">
        <f t="shared" si="18"/>
        <v>68</v>
      </c>
      <c r="U113" s="11">
        <f t="shared" si="19"/>
        <v>0.68</v>
      </c>
      <c r="V113" s="13" t="str">
        <f t="shared" si="20"/>
        <v>INGRESÓ</v>
      </c>
      <c r="W113" s="13" t="s">
        <v>88</v>
      </c>
      <c r="X113" s="14">
        <v>45745</v>
      </c>
      <c r="Y113" s="13" t="s">
        <v>96</v>
      </c>
      <c r="Z113" s="13" t="e">
        <f>VLOOKUP(D113,Datos!$A$1:$C$256,3,FALSE)</f>
        <v>#N/A</v>
      </c>
    </row>
    <row r="114" spans="1:26" x14ac:dyDescent="0.25">
      <c r="A114" s="4">
        <v>45</v>
      </c>
      <c r="B114" s="12" t="e">
        <f>VLOOKUP(D114,Datos!$A$1:$H$256,4,FALSE)</f>
        <v>#N/A</v>
      </c>
      <c r="C114" s="12" t="e">
        <f>VLOOKUP(D114,Datos!$A$1:$H$256,5,FALSE)</f>
        <v>#N/A</v>
      </c>
      <c r="D114" s="4">
        <v>62176843</v>
      </c>
      <c r="E114" s="12" t="e">
        <f>VLOOKUP(D114,Datos!$A$1:$H$256,6,FALSE)</f>
        <v>#N/A</v>
      </c>
      <c r="F114" s="12" t="e">
        <f>VLOOKUP(D114,Datos!$A$1:$H$256,7,FALSE)</f>
        <v>#N/A</v>
      </c>
      <c r="G114" s="12" t="e">
        <f>VLOOKUP(D114,Datos!$A$1:$H$256,8,FALSE)</f>
        <v>#N/A</v>
      </c>
      <c r="H114" s="4" t="s">
        <v>39</v>
      </c>
      <c r="I114" s="4" t="s">
        <v>30</v>
      </c>
      <c r="J114" s="12" t="s">
        <v>42</v>
      </c>
      <c r="K114" s="4" t="s">
        <v>90</v>
      </c>
      <c r="L114" s="4">
        <v>5</v>
      </c>
      <c r="M114" s="11">
        <f t="shared" si="14"/>
        <v>0.2</v>
      </c>
      <c r="N114" s="4">
        <v>9</v>
      </c>
      <c r="O114" s="11">
        <f t="shared" si="15"/>
        <v>0.9</v>
      </c>
      <c r="P114" s="4">
        <v>14</v>
      </c>
      <c r="Q114" s="11">
        <f t="shared" si="16"/>
        <v>0.4</v>
      </c>
      <c r="R114" s="4">
        <v>13</v>
      </c>
      <c r="S114" s="11">
        <f t="shared" si="17"/>
        <v>0.43333333333333335</v>
      </c>
      <c r="T114" s="4">
        <f t="shared" si="18"/>
        <v>41</v>
      </c>
      <c r="U114" s="11">
        <f t="shared" si="19"/>
        <v>0.41</v>
      </c>
      <c r="V114" s="13" t="str">
        <f t="shared" si="20"/>
        <v>INGRESÓ</v>
      </c>
      <c r="W114" s="13" t="s">
        <v>88</v>
      </c>
      <c r="X114" s="14">
        <v>45745</v>
      </c>
      <c r="Y114" s="13" t="s">
        <v>96</v>
      </c>
      <c r="Z114" s="13" t="e">
        <f>VLOOKUP(D114,Datos!$A$1:$C$256,3,FALSE)</f>
        <v>#N/A</v>
      </c>
    </row>
    <row r="115" spans="1:26" hidden="1" x14ac:dyDescent="0.25">
      <c r="A115" s="4">
        <v>46</v>
      </c>
      <c r="B115" s="12" t="e">
        <f>VLOOKUP(D115,Datos!$A$1:$H$256,4,FALSE)</f>
        <v>#N/A</v>
      </c>
      <c r="C115" s="12" t="e">
        <f>VLOOKUP(D115,Datos!$A$1:$H$256,5,FALSE)</f>
        <v>#N/A</v>
      </c>
      <c r="D115" s="4">
        <v>41199556</v>
      </c>
      <c r="E115" s="12" t="e">
        <f>VLOOKUP(D115,Datos!$A$1:$H$256,6,FALSE)</f>
        <v>#N/A</v>
      </c>
      <c r="F115" s="12" t="e">
        <f>VLOOKUP(D115,Datos!$A$1:$H$256,7,FALSE)</f>
        <v>#N/A</v>
      </c>
      <c r="G115" s="12" t="e">
        <f>VLOOKUP(D115,Datos!$A$1:$H$256,8,FALSE)</f>
        <v>#N/A</v>
      </c>
      <c r="H115" s="4" t="s">
        <v>39</v>
      </c>
      <c r="I115" s="4" t="s">
        <v>99</v>
      </c>
      <c r="J115" s="12" t="s">
        <v>42</v>
      </c>
      <c r="K115" s="4" t="s">
        <v>90</v>
      </c>
      <c r="L115" s="4">
        <v>13</v>
      </c>
      <c r="M115" s="11">
        <f t="shared" si="14"/>
        <v>0.52</v>
      </c>
      <c r="N115" s="4">
        <v>7</v>
      </c>
      <c r="O115" s="11">
        <f t="shared" si="15"/>
        <v>0.7</v>
      </c>
      <c r="P115" s="4">
        <v>9</v>
      </c>
      <c r="Q115" s="11">
        <f t="shared" si="16"/>
        <v>0.25714285714285712</v>
      </c>
      <c r="R115" s="4">
        <v>12</v>
      </c>
      <c r="S115" s="11">
        <f t="shared" si="17"/>
        <v>0.4</v>
      </c>
      <c r="T115" s="4">
        <f t="shared" si="18"/>
        <v>41</v>
      </c>
      <c r="U115" s="11">
        <f t="shared" si="19"/>
        <v>0.41</v>
      </c>
      <c r="V115" s="13" t="str">
        <f t="shared" si="20"/>
        <v>INGRESÓ</v>
      </c>
      <c r="W115" s="13" t="s">
        <v>88</v>
      </c>
      <c r="X115" s="14">
        <v>45745</v>
      </c>
      <c r="Y115" s="13" t="s">
        <v>96</v>
      </c>
      <c r="Z115" s="13" t="e">
        <f>VLOOKUP(D115,Datos!$A$1:$C$256,3,FALSE)</f>
        <v>#N/A</v>
      </c>
    </row>
    <row r="116" spans="1:26" hidden="1" x14ac:dyDescent="0.25">
      <c r="A116" s="4">
        <v>47</v>
      </c>
      <c r="B116" s="12" t="e">
        <f>VLOOKUP(D116,Datos!$A$1:$H$256,4,FALSE)</f>
        <v>#N/A</v>
      </c>
      <c r="C116" s="12" t="e">
        <f>VLOOKUP(D116,Datos!$A$1:$H$256,5,FALSE)</f>
        <v>#N/A</v>
      </c>
      <c r="D116" s="4">
        <v>75953512</v>
      </c>
      <c r="E116" s="12" t="e">
        <f>VLOOKUP(D116,Datos!$A$1:$H$256,6,FALSE)</f>
        <v>#N/A</v>
      </c>
      <c r="F116" s="12" t="e">
        <f>VLOOKUP(D116,Datos!$A$1:$H$256,7,FALSE)</f>
        <v>#N/A</v>
      </c>
      <c r="G116" s="12" t="e">
        <f>VLOOKUP(D116,Datos!$A$1:$H$256,8,FALSE)</f>
        <v>#N/A</v>
      </c>
      <c r="H116" s="4" t="s">
        <v>39</v>
      </c>
      <c r="I116" s="4" t="s">
        <v>99</v>
      </c>
      <c r="J116" s="12" t="s">
        <v>42</v>
      </c>
      <c r="K116" s="4" t="s">
        <v>90</v>
      </c>
      <c r="L116" s="4">
        <v>14</v>
      </c>
      <c r="M116" s="11">
        <f t="shared" si="14"/>
        <v>0.56000000000000005</v>
      </c>
      <c r="N116" s="4">
        <v>8</v>
      </c>
      <c r="O116" s="11">
        <f t="shared" si="15"/>
        <v>0.8</v>
      </c>
      <c r="P116" s="4">
        <v>10</v>
      </c>
      <c r="Q116" s="11">
        <f t="shared" si="16"/>
        <v>0.2857142857142857</v>
      </c>
      <c r="R116" s="4">
        <v>15</v>
      </c>
      <c r="S116" s="11">
        <f t="shared" si="17"/>
        <v>0.5</v>
      </c>
      <c r="T116" s="4">
        <f t="shared" si="18"/>
        <v>47</v>
      </c>
      <c r="U116" s="11">
        <f t="shared" si="19"/>
        <v>0.47</v>
      </c>
      <c r="V116" s="13" t="str">
        <f t="shared" si="20"/>
        <v>INGRESÓ</v>
      </c>
      <c r="W116" s="13" t="s">
        <v>88</v>
      </c>
      <c r="X116" s="14">
        <v>45745</v>
      </c>
      <c r="Y116" s="13" t="s">
        <v>96</v>
      </c>
      <c r="Z116" s="13" t="e">
        <f>VLOOKUP(D116,Datos!$A$1:$C$256,3,FALSE)</f>
        <v>#N/A</v>
      </c>
    </row>
    <row r="117" spans="1:26" hidden="1" x14ac:dyDescent="0.25">
      <c r="A117" s="4">
        <v>48</v>
      </c>
      <c r="B117" s="12" t="e">
        <f>VLOOKUP(D117,Datos!$A$1:$H$256,4,FALSE)</f>
        <v>#N/A</v>
      </c>
      <c r="C117" s="12" t="e">
        <f>VLOOKUP(D117,Datos!$A$1:$H$256,5,FALSE)</f>
        <v>#N/A</v>
      </c>
      <c r="D117" s="4">
        <v>62723821</v>
      </c>
      <c r="E117" s="12" t="e">
        <f>VLOOKUP(D117,Datos!$A$1:$H$256,6,FALSE)</f>
        <v>#N/A</v>
      </c>
      <c r="F117" s="12" t="e">
        <f>VLOOKUP(D117,Datos!$A$1:$H$256,7,FALSE)</f>
        <v>#N/A</v>
      </c>
      <c r="G117" s="12" t="e">
        <f>VLOOKUP(D117,Datos!$A$1:$H$256,8,FALSE)</f>
        <v>#N/A</v>
      </c>
      <c r="H117" s="4" t="s">
        <v>39</v>
      </c>
      <c r="I117" s="4" t="s">
        <v>34</v>
      </c>
      <c r="J117" s="12" t="s">
        <v>42</v>
      </c>
      <c r="K117" s="4" t="s">
        <v>90</v>
      </c>
      <c r="L117" s="4">
        <v>10</v>
      </c>
      <c r="M117" s="11">
        <f t="shared" si="14"/>
        <v>0.4</v>
      </c>
      <c r="N117" s="4">
        <v>7</v>
      </c>
      <c r="O117" s="11">
        <f t="shared" si="15"/>
        <v>0.7</v>
      </c>
      <c r="P117" s="4">
        <v>15</v>
      </c>
      <c r="Q117" s="11">
        <f t="shared" si="16"/>
        <v>0.42857142857142855</v>
      </c>
      <c r="R117" s="4">
        <v>8</v>
      </c>
      <c r="S117" s="11">
        <f t="shared" si="17"/>
        <v>0.26666666666666666</v>
      </c>
      <c r="T117" s="4">
        <f t="shared" si="18"/>
        <v>40</v>
      </c>
      <c r="U117" s="11">
        <f t="shared" si="19"/>
        <v>0.4</v>
      </c>
      <c r="V117" s="13" t="str">
        <f t="shared" si="20"/>
        <v>INGRESÓ</v>
      </c>
      <c r="W117" s="13" t="s">
        <v>88</v>
      </c>
      <c r="X117" s="14">
        <v>45745</v>
      </c>
      <c r="Y117" s="13" t="s">
        <v>96</v>
      </c>
      <c r="Z117" s="13" t="e">
        <f>VLOOKUP(D117,Datos!$A$1:$C$256,3,FALSE)</f>
        <v>#N/A</v>
      </c>
    </row>
    <row r="118" spans="1:26" x14ac:dyDescent="0.25">
      <c r="A118" s="4">
        <v>49</v>
      </c>
      <c r="B118" s="12" t="e">
        <f>VLOOKUP(D118,Datos!$A$1:$H$256,4,FALSE)</f>
        <v>#N/A</v>
      </c>
      <c r="C118" s="12" t="e">
        <f>VLOOKUP(D118,Datos!$A$1:$H$256,5,FALSE)</f>
        <v>#N/A</v>
      </c>
      <c r="D118" s="4">
        <v>60046528</v>
      </c>
      <c r="E118" s="12" t="e">
        <f>VLOOKUP(D118,Datos!$A$1:$H$256,6,FALSE)</f>
        <v>#N/A</v>
      </c>
      <c r="F118" s="12" t="e">
        <f>VLOOKUP(D118,Datos!$A$1:$H$256,7,FALSE)</f>
        <v>#N/A</v>
      </c>
      <c r="G118" s="12" t="e">
        <f>VLOOKUP(D118,Datos!$A$1:$H$256,8,FALSE)</f>
        <v>#N/A</v>
      </c>
      <c r="H118" s="4" t="s">
        <v>39</v>
      </c>
      <c r="I118" s="4" t="s">
        <v>30</v>
      </c>
      <c r="J118" s="12" t="s">
        <v>42</v>
      </c>
      <c r="K118" s="4" t="s">
        <v>90</v>
      </c>
      <c r="L118" s="4">
        <v>6</v>
      </c>
      <c r="M118" s="11">
        <f t="shared" si="14"/>
        <v>0.24</v>
      </c>
      <c r="N118" s="4">
        <v>6</v>
      </c>
      <c r="O118" s="11">
        <f t="shared" si="15"/>
        <v>0.6</v>
      </c>
      <c r="P118" s="4">
        <v>16</v>
      </c>
      <c r="Q118" s="11">
        <f t="shared" si="16"/>
        <v>0.45714285714285713</v>
      </c>
      <c r="R118" s="4">
        <v>6</v>
      </c>
      <c r="S118" s="11">
        <f t="shared" si="17"/>
        <v>0.2</v>
      </c>
      <c r="T118" s="4">
        <f t="shared" si="18"/>
        <v>34</v>
      </c>
      <c r="U118" s="11">
        <f t="shared" si="19"/>
        <v>0.34</v>
      </c>
      <c r="V118" s="13" t="str">
        <f t="shared" si="20"/>
        <v>INGRESÓ</v>
      </c>
      <c r="W118" s="13" t="s">
        <v>88</v>
      </c>
      <c r="X118" s="14">
        <v>45745</v>
      </c>
      <c r="Y118" s="13" t="s">
        <v>96</v>
      </c>
      <c r="Z118" s="13" t="e">
        <f>VLOOKUP(D118,Datos!$A$1:$C$256,3,FALSE)</f>
        <v>#N/A</v>
      </c>
    </row>
    <row r="119" spans="1:26" x14ac:dyDescent="0.25">
      <c r="A119" s="4">
        <v>50</v>
      </c>
      <c r="B119" s="12" t="e">
        <f>VLOOKUP(D119,Datos!$A$1:$H$256,4,FALSE)</f>
        <v>#N/A</v>
      </c>
      <c r="C119" s="12" t="e">
        <f>VLOOKUP(D119,Datos!$A$1:$H$256,5,FALSE)</f>
        <v>#N/A</v>
      </c>
      <c r="D119" s="4">
        <v>60886887</v>
      </c>
      <c r="E119" s="12" t="e">
        <f>VLOOKUP(D119,Datos!$A$1:$H$256,6,FALSE)</f>
        <v>#N/A</v>
      </c>
      <c r="F119" s="12" t="e">
        <f>VLOOKUP(D119,Datos!$A$1:$H$256,7,FALSE)</f>
        <v>#N/A</v>
      </c>
      <c r="G119" s="12" t="e">
        <f>VLOOKUP(D119,Datos!$A$1:$H$256,8,FALSE)</f>
        <v>#N/A</v>
      </c>
      <c r="H119" s="4" t="s">
        <v>39</v>
      </c>
      <c r="I119" s="4" t="s">
        <v>30</v>
      </c>
      <c r="J119" s="12" t="s">
        <v>42</v>
      </c>
      <c r="K119" s="4" t="s">
        <v>90</v>
      </c>
      <c r="L119" s="4">
        <v>11</v>
      </c>
      <c r="M119" s="11">
        <f t="shared" si="14"/>
        <v>0.44</v>
      </c>
      <c r="N119" s="4">
        <v>7</v>
      </c>
      <c r="O119" s="11">
        <f t="shared" si="15"/>
        <v>0.7</v>
      </c>
      <c r="P119" s="4">
        <v>8</v>
      </c>
      <c r="Q119" s="11">
        <f t="shared" si="16"/>
        <v>0.22857142857142856</v>
      </c>
      <c r="R119" s="4">
        <v>7</v>
      </c>
      <c r="S119" s="11">
        <f t="shared" si="17"/>
        <v>0.23333333333333334</v>
      </c>
      <c r="T119" s="4">
        <f t="shared" si="18"/>
        <v>33</v>
      </c>
      <c r="U119" s="11">
        <f t="shared" si="19"/>
        <v>0.33</v>
      </c>
      <c r="V119" s="13" t="str">
        <f t="shared" si="20"/>
        <v>INGRESÓ</v>
      </c>
      <c r="W119" s="13" t="s">
        <v>88</v>
      </c>
      <c r="X119" s="14">
        <v>45745</v>
      </c>
      <c r="Y119" s="13" t="s">
        <v>96</v>
      </c>
      <c r="Z119" s="13" t="e">
        <f>VLOOKUP(D119,Datos!$A$1:$C$256,3,FALSE)</f>
        <v>#N/A</v>
      </c>
    </row>
    <row r="120" spans="1:26" hidden="1" x14ac:dyDescent="0.25">
      <c r="A120" s="4">
        <v>51</v>
      </c>
      <c r="B120" s="12" t="e">
        <f>VLOOKUP(D120,Datos!$A$1:$H$256,4,FALSE)</f>
        <v>#N/A</v>
      </c>
      <c r="C120" s="12" t="e">
        <f>VLOOKUP(D120,Datos!$A$1:$H$256,5,FALSE)</f>
        <v>#N/A</v>
      </c>
      <c r="D120" s="4">
        <v>48102052</v>
      </c>
      <c r="E120" s="12" t="e">
        <f>VLOOKUP(D120,Datos!$A$1:$H$256,6,FALSE)</f>
        <v>#N/A</v>
      </c>
      <c r="F120" s="12" t="e">
        <f>VLOOKUP(D120,Datos!$A$1:$H$256,7,FALSE)</f>
        <v>#N/A</v>
      </c>
      <c r="G120" s="12" t="e">
        <f>VLOOKUP(D120,Datos!$A$1:$H$256,8,FALSE)</f>
        <v>#N/A</v>
      </c>
      <c r="H120" s="4" t="s">
        <v>39</v>
      </c>
      <c r="I120" s="4" t="s">
        <v>99</v>
      </c>
      <c r="J120" s="12" t="s">
        <v>42</v>
      </c>
      <c r="K120" s="4" t="s">
        <v>90</v>
      </c>
      <c r="L120" s="4">
        <v>15</v>
      </c>
      <c r="M120" s="11">
        <f t="shared" si="14"/>
        <v>0.6</v>
      </c>
      <c r="N120" s="4">
        <v>7</v>
      </c>
      <c r="O120" s="11">
        <f t="shared" si="15"/>
        <v>0.7</v>
      </c>
      <c r="P120" s="4">
        <v>23</v>
      </c>
      <c r="Q120" s="11">
        <f t="shared" si="16"/>
        <v>0.65714285714285714</v>
      </c>
      <c r="R120" s="4">
        <v>10</v>
      </c>
      <c r="S120" s="11">
        <f t="shared" si="17"/>
        <v>0.33333333333333331</v>
      </c>
      <c r="T120" s="4">
        <f t="shared" si="18"/>
        <v>55</v>
      </c>
      <c r="U120" s="11">
        <f t="shared" si="19"/>
        <v>0.55000000000000004</v>
      </c>
      <c r="V120" s="13" t="str">
        <f t="shared" si="20"/>
        <v>INGRESÓ</v>
      </c>
      <c r="W120" s="13" t="s">
        <v>88</v>
      </c>
      <c r="X120" s="14">
        <v>45745</v>
      </c>
      <c r="Y120" s="13" t="s">
        <v>96</v>
      </c>
      <c r="Z120" s="13" t="e">
        <f>VLOOKUP(D120,Datos!$A$1:$C$256,3,FALSE)</f>
        <v>#N/A</v>
      </c>
    </row>
    <row r="121" spans="1:26" x14ac:dyDescent="0.25">
      <c r="A121" s="4">
        <v>52</v>
      </c>
      <c r="B121" s="12" t="e">
        <f>VLOOKUP(D121,Datos!$A$1:$H$256,4,FALSE)</f>
        <v>#N/A</v>
      </c>
      <c r="C121" s="12" t="e">
        <f>VLOOKUP(D121,Datos!$A$1:$H$256,5,FALSE)</f>
        <v>#N/A</v>
      </c>
      <c r="D121" s="4">
        <v>61205786</v>
      </c>
      <c r="E121" s="12" t="e">
        <f>VLOOKUP(D121,Datos!$A$1:$H$256,6,FALSE)</f>
        <v>#N/A</v>
      </c>
      <c r="F121" s="12" t="e">
        <f>VLOOKUP(D121,Datos!$A$1:$H$256,7,FALSE)</f>
        <v>#N/A</v>
      </c>
      <c r="G121" s="12" t="e">
        <f>VLOOKUP(D121,Datos!$A$1:$H$256,8,FALSE)</f>
        <v>#N/A</v>
      </c>
      <c r="H121" s="4" t="s">
        <v>39</v>
      </c>
      <c r="I121" s="4" t="s">
        <v>30</v>
      </c>
      <c r="J121" s="12" t="s">
        <v>42</v>
      </c>
      <c r="K121" s="4" t="s">
        <v>90</v>
      </c>
      <c r="L121" s="4">
        <v>4</v>
      </c>
      <c r="M121" s="11">
        <f t="shared" si="14"/>
        <v>0.16</v>
      </c>
      <c r="N121" s="4">
        <v>8</v>
      </c>
      <c r="O121" s="11">
        <f t="shared" si="15"/>
        <v>0.8</v>
      </c>
      <c r="P121" s="4">
        <v>4</v>
      </c>
      <c r="Q121" s="11">
        <f t="shared" si="16"/>
        <v>0.11428571428571428</v>
      </c>
      <c r="R121" s="4">
        <v>6</v>
      </c>
      <c r="S121" s="11">
        <f t="shared" si="17"/>
        <v>0.2</v>
      </c>
      <c r="T121" s="4">
        <f t="shared" si="18"/>
        <v>22</v>
      </c>
      <c r="U121" s="11">
        <f t="shared" si="19"/>
        <v>0.22</v>
      </c>
      <c r="V121" s="13" t="str">
        <f t="shared" si="20"/>
        <v>INGRESÓ</v>
      </c>
      <c r="W121" s="13" t="s">
        <v>88</v>
      </c>
      <c r="X121" s="14">
        <v>45745</v>
      </c>
      <c r="Y121" s="13" t="s">
        <v>96</v>
      </c>
      <c r="Z121" s="13" t="e">
        <f>VLOOKUP(D121,Datos!$A$1:$C$256,3,FALSE)</f>
        <v>#N/A</v>
      </c>
    </row>
    <row r="122" spans="1:26" hidden="1" x14ac:dyDescent="0.25">
      <c r="A122" s="4">
        <v>53</v>
      </c>
      <c r="B122" s="12" t="e">
        <f>VLOOKUP(D122,Datos!$A$1:$H$256,4,FALSE)</f>
        <v>#N/A</v>
      </c>
      <c r="C122" s="12" t="e">
        <f>VLOOKUP(D122,Datos!$A$1:$H$256,5,FALSE)</f>
        <v>#N/A</v>
      </c>
      <c r="D122" s="4">
        <v>61307272</v>
      </c>
      <c r="E122" s="12" t="e">
        <f>VLOOKUP(D122,Datos!$A$1:$H$256,6,FALSE)</f>
        <v>#N/A</v>
      </c>
      <c r="F122" s="12" t="e">
        <f>VLOOKUP(D122,Datos!$A$1:$H$256,7,FALSE)</f>
        <v>#N/A</v>
      </c>
      <c r="G122" s="12" t="e">
        <f>VLOOKUP(D122,Datos!$A$1:$H$256,8,FALSE)</f>
        <v>#N/A</v>
      </c>
      <c r="H122" s="4" t="s">
        <v>39</v>
      </c>
      <c r="I122" s="4" t="s">
        <v>27</v>
      </c>
      <c r="J122" s="12" t="s">
        <v>42</v>
      </c>
      <c r="K122" s="4" t="s">
        <v>90</v>
      </c>
      <c r="L122" s="4">
        <v>13</v>
      </c>
      <c r="M122" s="11">
        <f t="shared" si="14"/>
        <v>0.52</v>
      </c>
      <c r="N122" s="4">
        <v>9</v>
      </c>
      <c r="O122" s="11">
        <f t="shared" si="15"/>
        <v>0.9</v>
      </c>
      <c r="P122" s="4">
        <v>16</v>
      </c>
      <c r="Q122" s="11">
        <f t="shared" si="16"/>
        <v>0.45714285714285713</v>
      </c>
      <c r="R122" s="4">
        <v>7</v>
      </c>
      <c r="S122" s="11">
        <f t="shared" si="17"/>
        <v>0.23333333333333334</v>
      </c>
      <c r="T122" s="4">
        <f t="shared" si="18"/>
        <v>45</v>
      </c>
      <c r="U122" s="11">
        <f t="shared" si="19"/>
        <v>0.45</v>
      </c>
      <c r="V122" s="13" t="str">
        <f t="shared" si="20"/>
        <v>INGRESÓ</v>
      </c>
      <c r="W122" s="13" t="s">
        <v>88</v>
      </c>
      <c r="X122" s="14">
        <v>45745</v>
      </c>
      <c r="Y122" s="13" t="s">
        <v>96</v>
      </c>
      <c r="Z122" s="13" t="e">
        <f>VLOOKUP(D122,Datos!$A$1:$C$256,3,FALSE)</f>
        <v>#N/A</v>
      </c>
    </row>
    <row r="123" spans="1:26" x14ac:dyDescent="0.25">
      <c r="A123" s="4">
        <v>54</v>
      </c>
      <c r="B123" s="12" t="e">
        <f>VLOOKUP(D123,Datos!$A$1:$H$256,4,FALSE)</f>
        <v>#N/A</v>
      </c>
      <c r="C123" s="12" t="e">
        <f>VLOOKUP(D123,Datos!$A$1:$H$256,5,FALSE)</f>
        <v>#N/A</v>
      </c>
      <c r="D123" s="4">
        <v>77677364</v>
      </c>
      <c r="E123" s="12" t="e">
        <f>VLOOKUP(D123,Datos!$A$1:$H$256,6,FALSE)</f>
        <v>#N/A</v>
      </c>
      <c r="F123" s="12" t="e">
        <f>VLOOKUP(D123,Datos!$A$1:$H$256,7,FALSE)</f>
        <v>#N/A</v>
      </c>
      <c r="G123" s="12" t="e">
        <f>VLOOKUP(D123,Datos!$A$1:$H$256,8,FALSE)</f>
        <v>#N/A</v>
      </c>
      <c r="H123" s="4" t="s">
        <v>39</v>
      </c>
      <c r="I123" s="4" t="s">
        <v>30</v>
      </c>
      <c r="J123" s="12" t="s">
        <v>42</v>
      </c>
      <c r="K123" s="4" t="s">
        <v>90</v>
      </c>
      <c r="L123" s="4">
        <v>9</v>
      </c>
      <c r="M123" s="11">
        <f t="shared" si="14"/>
        <v>0.36</v>
      </c>
      <c r="N123" s="4">
        <v>5</v>
      </c>
      <c r="O123" s="11">
        <f t="shared" si="15"/>
        <v>0.5</v>
      </c>
      <c r="P123" s="4">
        <v>11</v>
      </c>
      <c r="Q123" s="11">
        <f t="shared" si="16"/>
        <v>0.31428571428571428</v>
      </c>
      <c r="R123" s="4">
        <v>9</v>
      </c>
      <c r="S123" s="11">
        <f t="shared" si="17"/>
        <v>0.3</v>
      </c>
      <c r="T123" s="4">
        <f t="shared" si="18"/>
        <v>34</v>
      </c>
      <c r="U123" s="11">
        <f t="shared" si="19"/>
        <v>0.34</v>
      </c>
      <c r="V123" s="13" t="str">
        <f t="shared" si="20"/>
        <v>INGRESÓ</v>
      </c>
      <c r="W123" s="13" t="s">
        <v>88</v>
      </c>
      <c r="X123" s="14">
        <v>45745</v>
      </c>
      <c r="Y123" s="13" t="s">
        <v>96</v>
      </c>
      <c r="Z123" s="13" t="e">
        <f>VLOOKUP(D123,Datos!$A$1:$C$256,3,FALSE)</f>
        <v>#N/A</v>
      </c>
    </row>
    <row r="124" spans="1:26" hidden="1" x14ac:dyDescent="0.25">
      <c r="A124" s="4">
        <v>55</v>
      </c>
      <c r="B124" s="12" t="e">
        <f>VLOOKUP(D124,Datos!$A$1:$H$256,4,FALSE)</f>
        <v>#N/A</v>
      </c>
      <c r="C124" s="12" t="e">
        <f>VLOOKUP(D124,Datos!$A$1:$H$256,5,FALSE)</f>
        <v>#N/A</v>
      </c>
      <c r="D124" s="4">
        <v>21844572</v>
      </c>
      <c r="E124" s="12" t="e">
        <f>VLOOKUP(D124,Datos!$A$1:$H$256,6,FALSE)</f>
        <v>#N/A</v>
      </c>
      <c r="F124" s="12" t="e">
        <f>VLOOKUP(D124,Datos!$A$1:$H$256,7,FALSE)</f>
        <v>#N/A</v>
      </c>
      <c r="G124" s="12" t="e">
        <f>VLOOKUP(D124,Datos!$A$1:$H$256,8,FALSE)</f>
        <v>#N/A</v>
      </c>
      <c r="H124" s="4" t="s">
        <v>39</v>
      </c>
      <c r="I124" s="4" t="s">
        <v>27</v>
      </c>
      <c r="J124" s="12" t="s">
        <v>42</v>
      </c>
      <c r="K124" s="4" t="s">
        <v>90</v>
      </c>
      <c r="L124" s="4">
        <v>5</v>
      </c>
      <c r="M124" s="11">
        <f t="shared" si="14"/>
        <v>0.2</v>
      </c>
      <c r="N124" s="4">
        <v>4</v>
      </c>
      <c r="O124" s="11">
        <f t="shared" si="15"/>
        <v>0.4</v>
      </c>
      <c r="P124" s="4">
        <v>7</v>
      </c>
      <c r="Q124" s="11">
        <f t="shared" si="16"/>
        <v>0.2</v>
      </c>
      <c r="R124" s="4">
        <v>6</v>
      </c>
      <c r="S124" s="11">
        <f t="shared" si="17"/>
        <v>0.2</v>
      </c>
      <c r="T124" s="4">
        <f t="shared" si="18"/>
        <v>22</v>
      </c>
      <c r="U124" s="11">
        <f t="shared" si="19"/>
        <v>0.22</v>
      </c>
      <c r="V124" s="13" t="str">
        <f t="shared" si="20"/>
        <v>INGRESÓ</v>
      </c>
      <c r="W124" s="13" t="s">
        <v>88</v>
      </c>
      <c r="X124" s="14">
        <v>45745</v>
      </c>
      <c r="Y124" s="13" t="s">
        <v>96</v>
      </c>
      <c r="Z124" s="13" t="e">
        <f>VLOOKUP(D124,Datos!$A$1:$C$256,3,FALSE)</f>
        <v>#N/A</v>
      </c>
    </row>
    <row r="125" spans="1:26" hidden="1" x14ac:dyDescent="0.25">
      <c r="A125" s="4">
        <v>56</v>
      </c>
      <c r="B125" s="12" t="e">
        <f>VLOOKUP(D125,Datos!$A$1:$H$256,4,FALSE)</f>
        <v>#N/A</v>
      </c>
      <c r="C125" s="12" t="e">
        <f>VLOOKUP(D125,Datos!$A$1:$H$256,5,FALSE)</f>
        <v>#N/A</v>
      </c>
      <c r="D125" s="4">
        <v>73301289</v>
      </c>
      <c r="E125" s="12" t="e">
        <f>VLOOKUP(D125,Datos!$A$1:$H$256,6,FALSE)</f>
        <v>#N/A</v>
      </c>
      <c r="F125" s="12" t="e">
        <f>VLOOKUP(D125,Datos!$A$1:$H$256,7,FALSE)</f>
        <v>#N/A</v>
      </c>
      <c r="G125" s="12" t="e">
        <f>VLOOKUP(D125,Datos!$A$1:$H$256,8,FALSE)</f>
        <v>#N/A</v>
      </c>
      <c r="H125" s="4" t="s">
        <v>39</v>
      </c>
      <c r="I125" s="4" t="s">
        <v>34</v>
      </c>
      <c r="J125" s="12" t="s">
        <v>42</v>
      </c>
      <c r="K125" s="4" t="s">
        <v>90</v>
      </c>
      <c r="L125" s="4">
        <v>10</v>
      </c>
      <c r="M125" s="11">
        <f t="shared" si="14"/>
        <v>0.4</v>
      </c>
      <c r="N125" s="4">
        <v>10</v>
      </c>
      <c r="O125" s="11">
        <f t="shared" si="15"/>
        <v>1</v>
      </c>
      <c r="P125" s="4">
        <v>16</v>
      </c>
      <c r="Q125" s="11">
        <f t="shared" si="16"/>
        <v>0.45714285714285713</v>
      </c>
      <c r="R125" s="4">
        <v>5</v>
      </c>
      <c r="S125" s="11">
        <f t="shared" si="17"/>
        <v>0.16666666666666666</v>
      </c>
      <c r="T125" s="4">
        <f t="shared" si="18"/>
        <v>41</v>
      </c>
      <c r="U125" s="11">
        <f t="shared" si="19"/>
        <v>0.41</v>
      </c>
      <c r="V125" s="13" t="str">
        <f t="shared" si="20"/>
        <v>INGRESÓ</v>
      </c>
      <c r="W125" s="13" t="s">
        <v>88</v>
      </c>
      <c r="X125" s="14">
        <v>45745</v>
      </c>
      <c r="Y125" s="13" t="s">
        <v>96</v>
      </c>
      <c r="Z125" s="13" t="e">
        <f>VLOOKUP(D125,Datos!$A$1:$C$256,3,FALSE)</f>
        <v>#N/A</v>
      </c>
    </row>
    <row r="126" spans="1:26" hidden="1" x14ac:dyDescent="0.25">
      <c r="A126" s="4">
        <v>57</v>
      </c>
      <c r="B126" s="12" t="e">
        <f>VLOOKUP(D126,Datos!$A$1:$H$256,4,FALSE)</f>
        <v>#N/A</v>
      </c>
      <c r="C126" s="12" t="e">
        <f>VLOOKUP(D126,Datos!$A$1:$H$256,5,FALSE)</f>
        <v>#N/A</v>
      </c>
      <c r="D126" s="4">
        <v>74543981</v>
      </c>
      <c r="E126" s="12" t="e">
        <f>VLOOKUP(D126,Datos!$A$1:$H$256,6,FALSE)</f>
        <v>#N/A</v>
      </c>
      <c r="F126" s="12" t="e">
        <f>VLOOKUP(D126,Datos!$A$1:$H$256,7,FALSE)</f>
        <v>#N/A</v>
      </c>
      <c r="G126" s="12" t="e">
        <f>VLOOKUP(D126,Datos!$A$1:$H$256,8,FALSE)</f>
        <v>#N/A</v>
      </c>
      <c r="H126" s="4" t="s">
        <v>39</v>
      </c>
      <c r="I126" s="4" t="s">
        <v>27</v>
      </c>
      <c r="J126" s="12" t="s">
        <v>42</v>
      </c>
      <c r="K126" s="4" t="s">
        <v>90</v>
      </c>
      <c r="L126" s="4">
        <v>6</v>
      </c>
      <c r="M126" s="11">
        <f t="shared" si="14"/>
        <v>0.24</v>
      </c>
      <c r="N126" s="4">
        <v>8</v>
      </c>
      <c r="O126" s="11">
        <f t="shared" si="15"/>
        <v>0.8</v>
      </c>
      <c r="P126" s="4">
        <v>9</v>
      </c>
      <c r="Q126" s="11">
        <f t="shared" si="16"/>
        <v>0.25714285714285712</v>
      </c>
      <c r="R126" s="4">
        <v>7</v>
      </c>
      <c r="S126" s="11">
        <f t="shared" si="17"/>
        <v>0.23333333333333334</v>
      </c>
      <c r="T126" s="4">
        <f t="shared" si="18"/>
        <v>30</v>
      </c>
      <c r="U126" s="11">
        <f t="shared" si="19"/>
        <v>0.3</v>
      </c>
      <c r="V126" s="13" t="str">
        <f t="shared" si="20"/>
        <v>INGRESÓ</v>
      </c>
      <c r="W126" s="13" t="s">
        <v>88</v>
      </c>
      <c r="X126" s="14">
        <v>45745</v>
      </c>
      <c r="Y126" s="13" t="s">
        <v>96</v>
      </c>
      <c r="Z126" s="13" t="e">
        <f>VLOOKUP(D126,Datos!$A$1:$C$256,3,FALSE)</f>
        <v>#N/A</v>
      </c>
    </row>
    <row r="127" spans="1:26" hidden="1" x14ac:dyDescent="0.25">
      <c r="A127" s="4">
        <v>58</v>
      </c>
      <c r="B127" s="12" t="e">
        <f>VLOOKUP(D127,Datos!$A$1:$H$256,4,FALSE)</f>
        <v>#N/A</v>
      </c>
      <c r="C127" s="12" t="e">
        <f>VLOOKUP(D127,Datos!$A$1:$H$256,5,FALSE)</f>
        <v>#N/A</v>
      </c>
      <c r="D127" s="4">
        <v>71879721</v>
      </c>
      <c r="E127" s="12" t="e">
        <f>VLOOKUP(D127,Datos!$A$1:$H$256,6,FALSE)</f>
        <v>#N/A</v>
      </c>
      <c r="F127" s="12" t="e">
        <f>VLOOKUP(D127,Datos!$A$1:$H$256,7,FALSE)</f>
        <v>#N/A</v>
      </c>
      <c r="G127" s="12" t="e">
        <f>VLOOKUP(D127,Datos!$A$1:$H$256,8,FALSE)</f>
        <v>#N/A</v>
      </c>
      <c r="H127" s="4" t="s">
        <v>39</v>
      </c>
      <c r="I127" s="4" t="s">
        <v>99</v>
      </c>
      <c r="J127" s="12" t="s">
        <v>42</v>
      </c>
      <c r="K127" s="4" t="s">
        <v>90</v>
      </c>
      <c r="L127" s="4">
        <v>12</v>
      </c>
      <c r="M127" s="11">
        <f t="shared" si="14"/>
        <v>0.48</v>
      </c>
      <c r="N127" s="4">
        <v>6</v>
      </c>
      <c r="O127" s="11">
        <f t="shared" si="15"/>
        <v>0.6</v>
      </c>
      <c r="P127" s="4">
        <v>16</v>
      </c>
      <c r="Q127" s="11">
        <f t="shared" si="16"/>
        <v>0.45714285714285713</v>
      </c>
      <c r="R127" s="4">
        <v>11</v>
      </c>
      <c r="S127" s="11">
        <f t="shared" si="17"/>
        <v>0.36666666666666664</v>
      </c>
      <c r="T127" s="4">
        <f t="shared" si="18"/>
        <v>45</v>
      </c>
      <c r="U127" s="11">
        <f t="shared" si="19"/>
        <v>0.45</v>
      </c>
      <c r="V127" s="13" t="str">
        <f t="shared" si="20"/>
        <v>INGRESÓ</v>
      </c>
      <c r="W127" s="13" t="s">
        <v>88</v>
      </c>
      <c r="X127" s="14">
        <v>45745</v>
      </c>
      <c r="Y127" s="13" t="s">
        <v>96</v>
      </c>
      <c r="Z127" s="13" t="e">
        <f>VLOOKUP(D127,Datos!$A$1:$C$256,3,FALSE)</f>
        <v>#N/A</v>
      </c>
    </row>
    <row r="128" spans="1:26" x14ac:dyDescent="0.25">
      <c r="A128" s="4">
        <v>59</v>
      </c>
      <c r="B128" s="12" t="e">
        <f>VLOOKUP(D128,Datos!$A$1:$H$256,4,FALSE)</f>
        <v>#N/A</v>
      </c>
      <c r="C128" s="12" t="e">
        <f>VLOOKUP(D128,Datos!$A$1:$H$256,5,FALSE)</f>
        <v>#N/A</v>
      </c>
      <c r="D128" s="4">
        <v>60234799</v>
      </c>
      <c r="E128" s="12" t="e">
        <f>VLOOKUP(D128,Datos!$A$1:$H$256,6,FALSE)</f>
        <v>#N/A</v>
      </c>
      <c r="F128" s="12" t="e">
        <f>VLOOKUP(D128,Datos!$A$1:$H$256,7,FALSE)</f>
        <v>#N/A</v>
      </c>
      <c r="G128" s="12" t="e">
        <f>VLOOKUP(D128,Datos!$A$1:$H$256,8,FALSE)</f>
        <v>#N/A</v>
      </c>
      <c r="H128" s="4" t="s">
        <v>39</v>
      </c>
      <c r="I128" s="4" t="s">
        <v>30</v>
      </c>
      <c r="J128" s="12" t="s">
        <v>42</v>
      </c>
      <c r="K128" s="4" t="s">
        <v>90</v>
      </c>
      <c r="L128" s="4">
        <v>9</v>
      </c>
      <c r="M128" s="11">
        <f t="shared" si="14"/>
        <v>0.36</v>
      </c>
      <c r="N128" s="4">
        <v>8</v>
      </c>
      <c r="O128" s="11">
        <f t="shared" si="15"/>
        <v>0.8</v>
      </c>
      <c r="P128" s="4">
        <v>14</v>
      </c>
      <c r="Q128" s="11">
        <f t="shared" si="16"/>
        <v>0.4</v>
      </c>
      <c r="R128" s="4">
        <v>6</v>
      </c>
      <c r="S128" s="11">
        <f t="shared" si="17"/>
        <v>0.2</v>
      </c>
      <c r="T128" s="4">
        <f t="shared" si="18"/>
        <v>37</v>
      </c>
      <c r="U128" s="11">
        <f t="shared" si="19"/>
        <v>0.37</v>
      </c>
      <c r="V128" s="13" t="str">
        <f t="shared" si="20"/>
        <v>INGRESÓ</v>
      </c>
      <c r="W128" s="13" t="s">
        <v>88</v>
      </c>
      <c r="X128" s="14">
        <v>45745</v>
      </c>
      <c r="Y128" s="13" t="s">
        <v>96</v>
      </c>
      <c r="Z128" s="13" t="e">
        <f>VLOOKUP(D128,Datos!$A$1:$C$256,3,FALSE)</f>
        <v>#N/A</v>
      </c>
    </row>
    <row r="129" spans="1:26" x14ac:dyDescent="0.25">
      <c r="A129" s="4">
        <v>60</v>
      </c>
      <c r="B129" s="12" t="e">
        <f>VLOOKUP(D129,Datos!$A$1:$H$256,4,FALSE)</f>
        <v>#N/A</v>
      </c>
      <c r="C129" s="12" t="e">
        <f>VLOOKUP(D129,Datos!$A$1:$H$256,5,FALSE)</f>
        <v>#N/A</v>
      </c>
      <c r="D129" s="4">
        <v>74029168</v>
      </c>
      <c r="E129" s="12" t="e">
        <f>VLOOKUP(D129,Datos!$A$1:$H$256,6,FALSE)</f>
        <v>#N/A</v>
      </c>
      <c r="F129" s="12" t="e">
        <f>VLOOKUP(D129,Datos!$A$1:$H$256,7,FALSE)</f>
        <v>#N/A</v>
      </c>
      <c r="G129" s="12" t="e">
        <f>VLOOKUP(D129,Datos!$A$1:$H$256,8,FALSE)</f>
        <v>#N/A</v>
      </c>
      <c r="H129" s="4" t="s">
        <v>39</v>
      </c>
      <c r="I129" s="4" t="s">
        <v>30</v>
      </c>
      <c r="J129" s="12" t="s">
        <v>42</v>
      </c>
      <c r="K129" s="4" t="s">
        <v>90</v>
      </c>
      <c r="L129" s="4">
        <v>7</v>
      </c>
      <c r="M129" s="11">
        <f t="shared" si="14"/>
        <v>0.28000000000000003</v>
      </c>
      <c r="N129" s="4">
        <v>6</v>
      </c>
      <c r="O129" s="11">
        <f t="shared" si="15"/>
        <v>0.6</v>
      </c>
      <c r="P129" s="4">
        <v>19</v>
      </c>
      <c r="Q129" s="11">
        <f t="shared" si="16"/>
        <v>0.54285714285714282</v>
      </c>
      <c r="R129" s="4">
        <v>6</v>
      </c>
      <c r="S129" s="11">
        <f t="shared" si="17"/>
        <v>0.2</v>
      </c>
      <c r="T129" s="4">
        <f t="shared" si="18"/>
        <v>38</v>
      </c>
      <c r="U129" s="11">
        <f t="shared" si="19"/>
        <v>0.38</v>
      </c>
      <c r="V129" s="13" t="str">
        <f t="shared" si="20"/>
        <v>INGRESÓ</v>
      </c>
      <c r="W129" s="13" t="s">
        <v>88</v>
      </c>
      <c r="X129" s="14">
        <v>45745</v>
      </c>
      <c r="Y129" s="13" t="s">
        <v>96</v>
      </c>
      <c r="Z129" s="13" t="e">
        <f>VLOOKUP(D129,Datos!$A$1:$C$256,3,FALSE)</f>
        <v>#N/A</v>
      </c>
    </row>
    <row r="130" spans="1:26" x14ac:dyDescent="0.25">
      <c r="A130" s="4">
        <v>61</v>
      </c>
      <c r="B130" s="12" t="e">
        <f>VLOOKUP(D130,Datos!$A$1:$H$256,4,FALSE)</f>
        <v>#N/A</v>
      </c>
      <c r="C130" s="12" t="e">
        <f>VLOOKUP(D130,Datos!$A$1:$H$256,5,FALSE)</f>
        <v>#N/A</v>
      </c>
      <c r="D130" s="4">
        <v>61059913</v>
      </c>
      <c r="E130" s="12" t="e">
        <f>VLOOKUP(D130,Datos!$A$1:$H$256,6,FALSE)</f>
        <v>#N/A</v>
      </c>
      <c r="F130" s="12" t="e">
        <f>VLOOKUP(D130,Datos!$A$1:$H$256,7,FALSE)</f>
        <v>#N/A</v>
      </c>
      <c r="G130" s="12" t="e">
        <f>VLOOKUP(D130,Datos!$A$1:$H$256,8,FALSE)</f>
        <v>#N/A</v>
      </c>
      <c r="H130" s="4" t="s">
        <v>39</v>
      </c>
      <c r="I130" s="4" t="s">
        <v>30</v>
      </c>
      <c r="J130" s="12" t="s">
        <v>42</v>
      </c>
      <c r="K130" s="4" t="s">
        <v>90</v>
      </c>
      <c r="L130" s="4">
        <v>12</v>
      </c>
      <c r="M130" s="11">
        <f t="shared" si="14"/>
        <v>0.48</v>
      </c>
      <c r="N130" s="4">
        <v>9</v>
      </c>
      <c r="O130" s="11">
        <f t="shared" si="15"/>
        <v>0.9</v>
      </c>
      <c r="P130" s="4">
        <v>15</v>
      </c>
      <c r="Q130" s="11">
        <f t="shared" si="16"/>
        <v>0.42857142857142855</v>
      </c>
      <c r="R130" s="4">
        <v>7</v>
      </c>
      <c r="S130" s="11">
        <f t="shared" si="17"/>
        <v>0.23333333333333334</v>
      </c>
      <c r="T130" s="4">
        <f t="shared" si="18"/>
        <v>43</v>
      </c>
      <c r="U130" s="11">
        <f t="shared" si="19"/>
        <v>0.43</v>
      </c>
      <c r="V130" s="13" t="str">
        <f t="shared" si="20"/>
        <v>INGRESÓ</v>
      </c>
      <c r="W130" s="13" t="s">
        <v>88</v>
      </c>
      <c r="X130" s="14">
        <v>45745</v>
      </c>
      <c r="Y130" s="13" t="s">
        <v>96</v>
      </c>
      <c r="Z130" s="13" t="e">
        <f>VLOOKUP(D130,Datos!$A$1:$C$256,3,FALSE)</f>
        <v>#N/A</v>
      </c>
    </row>
    <row r="131" spans="1:26" hidden="1" x14ac:dyDescent="0.25">
      <c r="A131" s="4">
        <v>62</v>
      </c>
      <c r="B131" s="12" t="e">
        <f>VLOOKUP(D131,Datos!$A$1:$H$256,4,FALSE)</f>
        <v>#N/A</v>
      </c>
      <c r="C131" s="12" t="e">
        <f>VLOOKUP(D131,Datos!$A$1:$H$256,5,FALSE)</f>
        <v>#N/A</v>
      </c>
      <c r="D131" s="4">
        <v>61206102</v>
      </c>
      <c r="E131" s="12" t="e">
        <f>VLOOKUP(D131,Datos!$A$1:$H$256,6,FALSE)</f>
        <v>#N/A</v>
      </c>
      <c r="F131" s="12" t="e">
        <f>VLOOKUP(D131,Datos!$A$1:$H$256,7,FALSE)</f>
        <v>#N/A</v>
      </c>
      <c r="G131" s="12" t="e">
        <f>VLOOKUP(D131,Datos!$A$1:$H$256,8,FALSE)</f>
        <v>#N/A</v>
      </c>
      <c r="H131" s="4" t="s">
        <v>39</v>
      </c>
      <c r="I131" s="4" t="s">
        <v>101</v>
      </c>
      <c r="J131" s="12" t="s">
        <v>42</v>
      </c>
      <c r="K131" s="4" t="s">
        <v>90</v>
      </c>
      <c r="L131" s="4">
        <v>12</v>
      </c>
      <c r="M131" s="11">
        <f t="shared" si="14"/>
        <v>0.48</v>
      </c>
      <c r="N131" s="4">
        <v>8</v>
      </c>
      <c r="O131" s="11">
        <f t="shared" si="15"/>
        <v>0.8</v>
      </c>
      <c r="P131" s="4">
        <v>10</v>
      </c>
      <c r="Q131" s="11">
        <f t="shared" si="16"/>
        <v>0.2857142857142857</v>
      </c>
      <c r="R131" s="4">
        <v>12</v>
      </c>
      <c r="S131" s="11">
        <f t="shared" si="17"/>
        <v>0.4</v>
      </c>
      <c r="T131" s="4">
        <f t="shared" si="18"/>
        <v>42</v>
      </c>
      <c r="U131" s="11">
        <f t="shared" si="19"/>
        <v>0.42</v>
      </c>
      <c r="V131" s="13" t="str">
        <f t="shared" si="20"/>
        <v>INGRESÓ</v>
      </c>
      <c r="W131" s="13" t="s">
        <v>88</v>
      </c>
      <c r="X131" s="14">
        <v>45745</v>
      </c>
      <c r="Y131" s="13" t="s">
        <v>96</v>
      </c>
      <c r="Z131" s="13" t="e">
        <f>VLOOKUP(D131,Datos!$A$1:$C$256,3,FALSE)</f>
        <v>#N/A</v>
      </c>
    </row>
    <row r="132" spans="1:26" hidden="1" x14ac:dyDescent="0.25">
      <c r="A132" s="4">
        <v>63</v>
      </c>
      <c r="B132" s="12" t="e">
        <f>VLOOKUP(D132,Datos!$A$1:$H$256,4,FALSE)</f>
        <v>#N/A</v>
      </c>
      <c r="C132" s="12" t="e">
        <f>VLOOKUP(D132,Datos!$A$1:$H$256,5,FALSE)</f>
        <v>#N/A</v>
      </c>
      <c r="D132" s="4">
        <v>61248693</v>
      </c>
      <c r="E132" s="12" t="e">
        <f>VLOOKUP(D132,Datos!$A$1:$H$256,6,FALSE)</f>
        <v>#N/A</v>
      </c>
      <c r="F132" s="12" t="e">
        <f>VLOOKUP(D132,Datos!$A$1:$H$256,7,FALSE)</f>
        <v>#N/A</v>
      </c>
      <c r="G132" s="12" t="e">
        <f>VLOOKUP(D132,Datos!$A$1:$H$256,8,FALSE)</f>
        <v>#N/A</v>
      </c>
      <c r="H132" s="4" t="s">
        <v>39</v>
      </c>
      <c r="I132" s="4" t="s">
        <v>34</v>
      </c>
      <c r="J132" s="12" t="s">
        <v>42</v>
      </c>
      <c r="K132" s="4" t="s">
        <v>90</v>
      </c>
      <c r="L132" s="4">
        <v>4</v>
      </c>
      <c r="M132" s="11">
        <f t="shared" si="14"/>
        <v>0.16</v>
      </c>
      <c r="N132" s="4">
        <v>6</v>
      </c>
      <c r="O132" s="11">
        <f t="shared" si="15"/>
        <v>0.6</v>
      </c>
      <c r="P132" s="4">
        <v>10</v>
      </c>
      <c r="Q132" s="11">
        <f t="shared" si="16"/>
        <v>0.2857142857142857</v>
      </c>
      <c r="R132" s="4">
        <v>6</v>
      </c>
      <c r="S132" s="11">
        <f t="shared" si="17"/>
        <v>0.2</v>
      </c>
      <c r="T132" s="4">
        <f t="shared" si="18"/>
        <v>26</v>
      </c>
      <c r="U132" s="11">
        <f t="shared" si="19"/>
        <v>0.26</v>
      </c>
      <c r="V132" s="13" t="str">
        <f t="shared" si="20"/>
        <v>INGRESÓ</v>
      </c>
      <c r="W132" s="13" t="s">
        <v>88</v>
      </c>
      <c r="X132" s="14">
        <v>45745</v>
      </c>
      <c r="Y132" s="13" t="s">
        <v>96</v>
      </c>
      <c r="Z132" s="13" t="e">
        <f>VLOOKUP(D132,Datos!$A$1:$C$256,3,FALSE)</f>
        <v>#N/A</v>
      </c>
    </row>
    <row r="133" spans="1:26" hidden="1" x14ac:dyDescent="0.25">
      <c r="A133" s="4">
        <v>64</v>
      </c>
      <c r="B133" s="12" t="e">
        <f>VLOOKUP(D133,Datos!$A$1:$H$256,4,FALSE)</f>
        <v>#N/A</v>
      </c>
      <c r="C133" s="12" t="e">
        <f>VLOOKUP(D133,Datos!$A$1:$H$256,5,FALSE)</f>
        <v>#N/A</v>
      </c>
      <c r="D133" s="4">
        <v>76143652</v>
      </c>
      <c r="E133" s="12" t="e">
        <f>VLOOKUP(D133,Datos!$A$1:$H$256,6,FALSE)</f>
        <v>#N/A</v>
      </c>
      <c r="F133" s="12" t="e">
        <f>VLOOKUP(D133,Datos!$A$1:$H$256,7,FALSE)</f>
        <v>#N/A</v>
      </c>
      <c r="G133" s="12" t="e">
        <f>VLOOKUP(D133,Datos!$A$1:$H$256,8,FALSE)</f>
        <v>#N/A</v>
      </c>
      <c r="H133" s="4" t="s">
        <v>39</v>
      </c>
      <c r="I133" s="4" t="s">
        <v>34</v>
      </c>
      <c r="J133" s="12" t="s">
        <v>42</v>
      </c>
      <c r="K133" s="4" t="s">
        <v>90</v>
      </c>
      <c r="L133" s="4">
        <v>7</v>
      </c>
      <c r="M133" s="11">
        <f t="shared" si="14"/>
        <v>0.28000000000000003</v>
      </c>
      <c r="N133" s="4">
        <v>3</v>
      </c>
      <c r="O133" s="11">
        <f t="shared" si="15"/>
        <v>0.3</v>
      </c>
      <c r="P133" s="4">
        <v>6</v>
      </c>
      <c r="Q133" s="11">
        <f t="shared" si="16"/>
        <v>0.17142857142857143</v>
      </c>
      <c r="R133" s="4">
        <v>6</v>
      </c>
      <c r="S133" s="11">
        <f t="shared" si="17"/>
        <v>0.2</v>
      </c>
      <c r="T133" s="4">
        <f t="shared" si="18"/>
        <v>22</v>
      </c>
      <c r="U133" s="11">
        <f t="shared" si="19"/>
        <v>0.22</v>
      </c>
      <c r="V133" s="13" t="str">
        <f t="shared" si="20"/>
        <v>INGRESÓ</v>
      </c>
      <c r="W133" s="13" t="s">
        <v>88</v>
      </c>
      <c r="X133" s="14">
        <v>45745</v>
      </c>
      <c r="Y133" s="13" t="s">
        <v>96</v>
      </c>
      <c r="Z133" s="13" t="e">
        <f>VLOOKUP(D133,Datos!$A$1:$C$256,3,FALSE)</f>
        <v>#N/A</v>
      </c>
    </row>
    <row r="134" spans="1:26" hidden="1" x14ac:dyDescent="0.25">
      <c r="A134" s="4">
        <v>65</v>
      </c>
      <c r="B134" s="12" t="e">
        <f>VLOOKUP(D134,Datos!$A$1:$H$256,4,FALSE)</f>
        <v>#N/A</v>
      </c>
      <c r="C134" s="12" t="e">
        <f>VLOOKUP(D134,Datos!$A$1:$H$256,5,FALSE)</f>
        <v>#N/A</v>
      </c>
      <c r="D134" s="4">
        <v>73567927</v>
      </c>
      <c r="E134" s="12" t="e">
        <f>VLOOKUP(D134,Datos!$A$1:$H$256,6,FALSE)</f>
        <v>#N/A</v>
      </c>
      <c r="F134" s="12" t="e">
        <f>VLOOKUP(D134,Datos!$A$1:$H$256,7,FALSE)</f>
        <v>#N/A</v>
      </c>
      <c r="G134" s="12" t="e">
        <f>VLOOKUP(D134,Datos!$A$1:$H$256,8,FALSE)</f>
        <v>#N/A</v>
      </c>
      <c r="H134" s="4" t="s">
        <v>39</v>
      </c>
      <c r="I134" s="4" t="s">
        <v>27</v>
      </c>
      <c r="J134" s="12" t="s">
        <v>42</v>
      </c>
      <c r="K134" s="4" t="s">
        <v>90</v>
      </c>
      <c r="L134" s="4">
        <v>10</v>
      </c>
      <c r="M134" s="11">
        <f t="shared" si="14"/>
        <v>0.4</v>
      </c>
      <c r="N134" s="4">
        <v>10</v>
      </c>
      <c r="O134" s="11">
        <f t="shared" si="15"/>
        <v>1</v>
      </c>
      <c r="P134" s="4">
        <v>8</v>
      </c>
      <c r="Q134" s="11">
        <f t="shared" si="16"/>
        <v>0.22857142857142856</v>
      </c>
      <c r="R134" s="4">
        <v>9</v>
      </c>
      <c r="S134" s="11">
        <f t="shared" si="17"/>
        <v>0.3</v>
      </c>
      <c r="T134" s="4">
        <f t="shared" si="18"/>
        <v>37</v>
      </c>
      <c r="U134" s="11">
        <f t="shared" si="19"/>
        <v>0.37</v>
      </c>
      <c r="V134" s="13" t="str">
        <f t="shared" si="20"/>
        <v>INGRESÓ</v>
      </c>
      <c r="W134" s="13" t="s">
        <v>88</v>
      </c>
      <c r="X134" s="14">
        <v>45745</v>
      </c>
      <c r="Y134" s="13" t="s">
        <v>96</v>
      </c>
      <c r="Z134" s="13" t="e">
        <f>VLOOKUP(D134,Datos!$A$1:$C$256,3,FALSE)</f>
        <v>#N/A</v>
      </c>
    </row>
    <row r="135" spans="1:26" hidden="1" x14ac:dyDescent="0.25">
      <c r="A135" s="4">
        <v>66</v>
      </c>
      <c r="B135" s="12" t="e">
        <f>VLOOKUP(D135,Datos!$A$1:$H$256,4,FALSE)</f>
        <v>#N/A</v>
      </c>
      <c r="C135" s="12" t="e">
        <f>VLOOKUP(D135,Datos!$A$1:$H$256,5,FALSE)</f>
        <v>#N/A</v>
      </c>
      <c r="D135" s="4">
        <v>21836856</v>
      </c>
      <c r="E135" s="12" t="e">
        <f>VLOOKUP(D135,Datos!$A$1:$H$256,6,FALSE)</f>
        <v>#N/A</v>
      </c>
      <c r="F135" s="12" t="e">
        <f>VLOOKUP(D135,Datos!$A$1:$H$256,7,FALSE)</f>
        <v>#N/A</v>
      </c>
      <c r="G135" s="12" t="e">
        <f>VLOOKUP(D135,Datos!$A$1:$H$256,8,FALSE)</f>
        <v>#N/A</v>
      </c>
      <c r="H135" s="4" t="s">
        <v>39</v>
      </c>
      <c r="I135" s="4" t="s">
        <v>102</v>
      </c>
      <c r="J135" s="12" t="s">
        <v>42</v>
      </c>
      <c r="K135" s="4" t="s">
        <v>90</v>
      </c>
      <c r="L135" s="4">
        <v>11</v>
      </c>
      <c r="M135" s="11">
        <f t="shared" ref="M135:M198" si="21">IF(L135="","",(L135/25))</f>
        <v>0.44</v>
      </c>
      <c r="N135" s="4">
        <v>4</v>
      </c>
      <c r="O135" s="11">
        <f t="shared" ref="O135:O198" si="22">IF(N135="","",(N135/10))</f>
        <v>0.4</v>
      </c>
      <c r="P135" s="4">
        <v>11</v>
      </c>
      <c r="Q135" s="11">
        <f t="shared" ref="Q135:Q198" si="23">IF(P135="","",(P135/35))</f>
        <v>0.31428571428571428</v>
      </c>
      <c r="R135" s="4">
        <v>14</v>
      </c>
      <c r="S135" s="11">
        <f t="shared" ref="S135:S198" si="24">IF(R135="","",(R135/30))</f>
        <v>0.46666666666666667</v>
      </c>
      <c r="T135" s="4">
        <f t="shared" ref="T135:T198" si="25">SUM(L135,N135,P135,R135)</f>
        <v>40</v>
      </c>
      <c r="U135" s="11">
        <f t="shared" ref="U135:U198" si="26">IF(T135="","",(T135/100))</f>
        <v>0.4</v>
      </c>
      <c r="V135" s="13" t="str">
        <f t="shared" ref="V135:V198" si="27">IF(U135=0,"NO INGRESÓ","INGRESÓ")</f>
        <v>INGRESÓ</v>
      </c>
      <c r="W135" s="13" t="s">
        <v>88</v>
      </c>
      <c r="X135" s="14">
        <v>45745</v>
      </c>
      <c r="Y135" s="13" t="s">
        <v>96</v>
      </c>
      <c r="Z135" s="13" t="e">
        <f>VLOOKUP(D135,Datos!$A$1:$C$256,3,FALSE)</f>
        <v>#N/A</v>
      </c>
    </row>
    <row r="136" spans="1:26" hidden="1" x14ac:dyDescent="0.25">
      <c r="A136" s="4">
        <v>67</v>
      </c>
      <c r="B136" s="12" t="e">
        <f>VLOOKUP(D136,Datos!$A$1:$H$256,4,FALSE)</f>
        <v>#N/A</v>
      </c>
      <c r="C136" s="12" t="e">
        <f>VLOOKUP(D136,Datos!$A$1:$H$256,5,FALSE)</f>
        <v>#N/A</v>
      </c>
      <c r="D136" s="4">
        <v>60981800</v>
      </c>
      <c r="E136" s="12" t="e">
        <f>VLOOKUP(D136,Datos!$A$1:$H$256,6,FALSE)</f>
        <v>#N/A</v>
      </c>
      <c r="F136" s="12" t="e">
        <f>VLOOKUP(D136,Datos!$A$1:$H$256,7,FALSE)</f>
        <v>#N/A</v>
      </c>
      <c r="G136" s="12" t="e">
        <f>VLOOKUP(D136,Datos!$A$1:$H$256,8,FALSE)</f>
        <v>#N/A</v>
      </c>
      <c r="H136" s="4" t="s">
        <v>39</v>
      </c>
      <c r="I136" s="4" t="s">
        <v>102</v>
      </c>
      <c r="J136" s="12" t="s">
        <v>42</v>
      </c>
      <c r="K136" s="4" t="s">
        <v>90</v>
      </c>
      <c r="L136" s="4">
        <v>11</v>
      </c>
      <c r="M136" s="11">
        <f t="shared" si="21"/>
        <v>0.44</v>
      </c>
      <c r="N136" s="4">
        <v>9</v>
      </c>
      <c r="O136" s="11">
        <f t="shared" si="22"/>
        <v>0.9</v>
      </c>
      <c r="P136" s="4">
        <v>7</v>
      </c>
      <c r="Q136" s="11">
        <f t="shared" si="23"/>
        <v>0.2</v>
      </c>
      <c r="R136" s="4">
        <v>8</v>
      </c>
      <c r="S136" s="11">
        <f t="shared" si="24"/>
        <v>0.26666666666666666</v>
      </c>
      <c r="T136" s="4">
        <f t="shared" si="25"/>
        <v>35</v>
      </c>
      <c r="U136" s="11">
        <f t="shared" si="26"/>
        <v>0.35</v>
      </c>
      <c r="V136" s="13" t="str">
        <f t="shared" si="27"/>
        <v>INGRESÓ</v>
      </c>
      <c r="W136" s="13" t="s">
        <v>88</v>
      </c>
      <c r="X136" s="14">
        <v>45745</v>
      </c>
      <c r="Y136" s="13" t="s">
        <v>96</v>
      </c>
      <c r="Z136" s="13" t="e">
        <f>VLOOKUP(D136,Datos!$A$1:$C$256,3,FALSE)</f>
        <v>#N/A</v>
      </c>
    </row>
    <row r="137" spans="1:26" hidden="1" x14ac:dyDescent="0.25">
      <c r="A137" s="4">
        <v>68</v>
      </c>
      <c r="B137" s="12" t="e">
        <f>VLOOKUP(D137,Datos!$A$1:$H$256,4,FALSE)</f>
        <v>#N/A</v>
      </c>
      <c r="C137" s="12" t="e">
        <f>VLOOKUP(D137,Datos!$A$1:$H$256,5,FALSE)</f>
        <v>#N/A</v>
      </c>
      <c r="D137" s="4">
        <v>47137300</v>
      </c>
      <c r="E137" s="12" t="e">
        <f>VLOOKUP(D137,Datos!$A$1:$H$256,6,FALSE)</f>
        <v>#N/A</v>
      </c>
      <c r="F137" s="12" t="e">
        <f>VLOOKUP(D137,Datos!$A$1:$H$256,7,FALSE)</f>
        <v>#N/A</v>
      </c>
      <c r="G137" s="12" t="e">
        <f>VLOOKUP(D137,Datos!$A$1:$H$256,8,FALSE)</f>
        <v>#N/A</v>
      </c>
      <c r="H137" s="4" t="s">
        <v>39</v>
      </c>
      <c r="I137" s="4" t="s">
        <v>99</v>
      </c>
      <c r="J137" s="12" t="s">
        <v>42</v>
      </c>
      <c r="K137" s="4" t="s">
        <v>90</v>
      </c>
      <c r="L137" s="4">
        <v>8</v>
      </c>
      <c r="M137" s="11">
        <f t="shared" si="21"/>
        <v>0.32</v>
      </c>
      <c r="N137" s="4">
        <v>6</v>
      </c>
      <c r="O137" s="11">
        <f t="shared" si="22"/>
        <v>0.6</v>
      </c>
      <c r="P137" s="4">
        <v>13</v>
      </c>
      <c r="Q137" s="11">
        <f t="shared" si="23"/>
        <v>0.37142857142857144</v>
      </c>
      <c r="R137" s="4">
        <v>13</v>
      </c>
      <c r="S137" s="11">
        <f t="shared" si="24"/>
        <v>0.43333333333333335</v>
      </c>
      <c r="T137" s="4">
        <f t="shared" si="25"/>
        <v>40</v>
      </c>
      <c r="U137" s="11">
        <f t="shared" si="26"/>
        <v>0.4</v>
      </c>
      <c r="V137" s="13" t="str">
        <f t="shared" si="27"/>
        <v>INGRESÓ</v>
      </c>
      <c r="W137" s="13" t="s">
        <v>88</v>
      </c>
      <c r="X137" s="14">
        <v>45745</v>
      </c>
      <c r="Y137" s="13" t="s">
        <v>96</v>
      </c>
      <c r="Z137" s="13" t="e">
        <f>VLOOKUP(D137,Datos!$A$1:$C$256,3,FALSE)</f>
        <v>#N/A</v>
      </c>
    </row>
    <row r="138" spans="1:26" hidden="1" x14ac:dyDescent="0.25">
      <c r="A138" s="4">
        <v>69</v>
      </c>
      <c r="B138" s="12" t="e">
        <f>VLOOKUP(D138,Datos!$A$1:$H$256,4,FALSE)</f>
        <v>#N/A</v>
      </c>
      <c r="C138" s="12" t="e">
        <f>VLOOKUP(D138,Datos!$A$1:$H$256,5,FALSE)</f>
        <v>#N/A</v>
      </c>
      <c r="D138" s="4">
        <v>61110799</v>
      </c>
      <c r="E138" s="12" t="e">
        <f>VLOOKUP(D138,Datos!$A$1:$H$256,6,FALSE)</f>
        <v>#N/A</v>
      </c>
      <c r="F138" s="12" t="e">
        <f>VLOOKUP(D138,Datos!$A$1:$H$256,7,FALSE)</f>
        <v>#N/A</v>
      </c>
      <c r="G138" s="12" t="e">
        <f>VLOOKUP(D138,Datos!$A$1:$H$256,8,FALSE)</f>
        <v>#N/A</v>
      </c>
      <c r="H138" s="4" t="s">
        <v>39</v>
      </c>
      <c r="I138" s="4" t="s">
        <v>27</v>
      </c>
      <c r="J138" s="12" t="s">
        <v>42</v>
      </c>
      <c r="K138" s="4" t="s">
        <v>90</v>
      </c>
      <c r="L138" s="4">
        <v>3</v>
      </c>
      <c r="M138" s="11">
        <f t="shared" si="21"/>
        <v>0.12</v>
      </c>
      <c r="N138" s="4">
        <v>9</v>
      </c>
      <c r="O138" s="11">
        <f t="shared" si="22"/>
        <v>0.9</v>
      </c>
      <c r="P138" s="4">
        <v>3</v>
      </c>
      <c r="Q138" s="11">
        <f t="shared" si="23"/>
        <v>8.5714285714285715E-2</v>
      </c>
      <c r="R138" s="4">
        <v>4</v>
      </c>
      <c r="S138" s="11">
        <f t="shared" si="24"/>
        <v>0.13333333333333333</v>
      </c>
      <c r="T138" s="4">
        <f t="shared" si="25"/>
        <v>19</v>
      </c>
      <c r="U138" s="11">
        <f t="shared" si="26"/>
        <v>0.19</v>
      </c>
      <c r="V138" s="13" t="str">
        <f t="shared" si="27"/>
        <v>INGRESÓ</v>
      </c>
      <c r="W138" s="13" t="s">
        <v>88</v>
      </c>
      <c r="X138" s="14">
        <v>45745</v>
      </c>
      <c r="Y138" s="13" t="s">
        <v>96</v>
      </c>
      <c r="Z138" s="13" t="e">
        <f>VLOOKUP(D138,Datos!$A$1:$C$256,3,FALSE)</f>
        <v>#N/A</v>
      </c>
    </row>
    <row r="139" spans="1:26" hidden="1" x14ac:dyDescent="0.25">
      <c r="A139" s="4">
        <v>70</v>
      </c>
      <c r="B139" s="12" t="e">
        <f>VLOOKUP(D139,Datos!$A$1:$H$256,4,FALSE)</f>
        <v>#N/A</v>
      </c>
      <c r="C139" s="12" t="e">
        <f>VLOOKUP(D139,Datos!$A$1:$H$256,5,FALSE)</f>
        <v>#N/A</v>
      </c>
      <c r="D139" s="4">
        <v>60578169</v>
      </c>
      <c r="E139" s="12" t="e">
        <f>VLOOKUP(D139,Datos!$A$1:$H$256,6,FALSE)</f>
        <v>#N/A</v>
      </c>
      <c r="F139" s="12" t="e">
        <f>VLOOKUP(D139,Datos!$A$1:$H$256,7,FALSE)</f>
        <v>#N/A</v>
      </c>
      <c r="G139" s="12" t="e">
        <f>VLOOKUP(D139,Datos!$A$1:$H$256,8,FALSE)</f>
        <v>#N/A</v>
      </c>
      <c r="H139" s="4" t="s">
        <v>39</v>
      </c>
      <c r="I139" s="4" t="s">
        <v>27</v>
      </c>
      <c r="J139" s="12" t="s">
        <v>42</v>
      </c>
      <c r="K139" s="4" t="s">
        <v>90</v>
      </c>
      <c r="L139" s="4">
        <v>12</v>
      </c>
      <c r="M139" s="11">
        <f t="shared" si="21"/>
        <v>0.48</v>
      </c>
      <c r="N139" s="4">
        <v>9</v>
      </c>
      <c r="O139" s="11">
        <f t="shared" si="22"/>
        <v>0.9</v>
      </c>
      <c r="P139" s="4">
        <v>11</v>
      </c>
      <c r="Q139" s="11">
        <f t="shared" si="23"/>
        <v>0.31428571428571428</v>
      </c>
      <c r="R139" s="4">
        <v>10</v>
      </c>
      <c r="S139" s="11">
        <f t="shared" si="24"/>
        <v>0.33333333333333331</v>
      </c>
      <c r="T139" s="4">
        <f t="shared" si="25"/>
        <v>42</v>
      </c>
      <c r="U139" s="11">
        <f t="shared" si="26"/>
        <v>0.42</v>
      </c>
      <c r="V139" s="13" t="str">
        <f t="shared" si="27"/>
        <v>INGRESÓ</v>
      </c>
      <c r="W139" s="13" t="s">
        <v>88</v>
      </c>
      <c r="X139" s="14">
        <v>45745</v>
      </c>
      <c r="Y139" s="13" t="s">
        <v>96</v>
      </c>
      <c r="Z139" s="13" t="e">
        <f>VLOOKUP(D139,Datos!$A$1:$C$256,3,FALSE)</f>
        <v>#N/A</v>
      </c>
    </row>
    <row r="140" spans="1:26" hidden="1" x14ac:dyDescent="0.25">
      <c r="A140" s="4">
        <v>71</v>
      </c>
      <c r="B140" s="12" t="e">
        <f>VLOOKUP(D140,Datos!$A$1:$H$256,4,FALSE)</f>
        <v>#N/A</v>
      </c>
      <c r="C140" s="12" t="e">
        <f>VLOOKUP(D140,Datos!$A$1:$H$256,5,FALSE)</f>
        <v>#N/A</v>
      </c>
      <c r="D140" s="4">
        <v>60253556</v>
      </c>
      <c r="E140" s="12" t="e">
        <f>VLOOKUP(D140,Datos!$A$1:$H$256,6,FALSE)</f>
        <v>#N/A</v>
      </c>
      <c r="F140" s="12" t="e">
        <f>VLOOKUP(D140,Datos!$A$1:$H$256,7,FALSE)</f>
        <v>#N/A</v>
      </c>
      <c r="G140" s="12" t="e">
        <f>VLOOKUP(D140,Datos!$A$1:$H$256,8,FALSE)</f>
        <v>#N/A</v>
      </c>
      <c r="H140" s="4" t="s">
        <v>39</v>
      </c>
      <c r="I140" s="4" t="s">
        <v>27</v>
      </c>
      <c r="J140" s="12" t="s">
        <v>42</v>
      </c>
      <c r="K140" s="4" t="s">
        <v>90</v>
      </c>
      <c r="L140" s="4">
        <v>4</v>
      </c>
      <c r="M140" s="11">
        <f t="shared" si="21"/>
        <v>0.16</v>
      </c>
      <c r="N140" s="4">
        <v>8</v>
      </c>
      <c r="O140" s="11">
        <f t="shared" si="22"/>
        <v>0.8</v>
      </c>
      <c r="P140" s="4">
        <v>12</v>
      </c>
      <c r="Q140" s="11">
        <f t="shared" si="23"/>
        <v>0.34285714285714286</v>
      </c>
      <c r="R140" s="4">
        <v>12</v>
      </c>
      <c r="S140" s="11">
        <f t="shared" si="24"/>
        <v>0.4</v>
      </c>
      <c r="T140" s="4">
        <f t="shared" si="25"/>
        <v>36</v>
      </c>
      <c r="U140" s="11">
        <f t="shared" si="26"/>
        <v>0.36</v>
      </c>
      <c r="V140" s="13" t="str">
        <f t="shared" si="27"/>
        <v>INGRESÓ</v>
      </c>
      <c r="W140" s="13" t="s">
        <v>88</v>
      </c>
      <c r="X140" s="14">
        <v>45745</v>
      </c>
      <c r="Y140" s="13" t="s">
        <v>96</v>
      </c>
      <c r="Z140" s="13" t="e">
        <f>VLOOKUP(D140,Datos!$A$1:$C$256,3,FALSE)</f>
        <v>#N/A</v>
      </c>
    </row>
    <row r="141" spans="1:26" hidden="1" x14ac:dyDescent="0.25">
      <c r="A141" s="4">
        <v>72</v>
      </c>
      <c r="B141" s="12" t="e">
        <f>VLOOKUP(D141,Datos!$A$1:$H$256,4,FALSE)</f>
        <v>#N/A</v>
      </c>
      <c r="C141" s="12" t="e">
        <f>VLOOKUP(D141,Datos!$A$1:$H$256,5,FALSE)</f>
        <v>#N/A</v>
      </c>
      <c r="D141" s="4">
        <v>41402654</v>
      </c>
      <c r="E141" s="12" t="e">
        <f>VLOOKUP(D141,Datos!$A$1:$H$256,6,FALSE)</f>
        <v>#N/A</v>
      </c>
      <c r="F141" s="12" t="e">
        <f>VLOOKUP(D141,Datos!$A$1:$H$256,7,FALSE)</f>
        <v>#N/A</v>
      </c>
      <c r="G141" s="12" t="e">
        <f>VLOOKUP(D141,Datos!$A$1:$H$256,8,FALSE)</f>
        <v>#N/A</v>
      </c>
      <c r="H141" s="4" t="s">
        <v>39</v>
      </c>
      <c r="I141" s="4" t="s">
        <v>99</v>
      </c>
      <c r="J141" s="12" t="s">
        <v>42</v>
      </c>
      <c r="K141" s="4" t="s">
        <v>90</v>
      </c>
      <c r="L141" s="4">
        <v>13</v>
      </c>
      <c r="M141" s="11">
        <f t="shared" si="21"/>
        <v>0.52</v>
      </c>
      <c r="N141" s="4">
        <v>9</v>
      </c>
      <c r="O141" s="11">
        <f t="shared" si="22"/>
        <v>0.9</v>
      </c>
      <c r="P141" s="4">
        <v>16</v>
      </c>
      <c r="Q141" s="11">
        <f t="shared" si="23"/>
        <v>0.45714285714285713</v>
      </c>
      <c r="R141" s="4">
        <v>9</v>
      </c>
      <c r="S141" s="11">
        <f t="shared" si="24"/>
        <v>0.3</v>
      </c>
      <c r="T141" s="4">
        <f t="shared" si="25"/>
        <v>47</v>
      </c>
      <c r="U141" s="11">
        <f t="shared" si="26"/>
        <v>0.47</v>
      </c>
      <c r="V141" s="13" t="str">
        <f t="shared" si="27"/>
        <v>INGRESÓ</v>
      </c>
      <c r="W141" s="13" t="s">
        <v>88</v>
      </c>
      <c r="X141" s="14">
        <v>45745</v>
      </c>
      <c r="Y141" s="13" t="s">
        <v>96</v>
      </c>
      <c r="Z141" s="13" t="e">
        <f>VLOOKUP(D141,Datos!$A$1:$C$256,3,FALSE)</f>
        <v>#N/A</v>
      </c>
    </row>
    <row r="142" spans="1:26" hidden="1" x14ac:dyDescent="0.25">
      <c r="A142" s="4">
        <v>73</v>
      </c>
      <c r="B142" s="12" t="e">
        <f>VLOOKUP(D142,Datos!$A$1:$H$256,4,FALSE)</f>
        <v>#N/A</v>
      </c>
      <c r="C142" s="12" t="e">
        <f>VLOOKUP(D142,Datos!$A$1:$H$256,5,FALSE)</f>
        <v>#N/A</v>
      </c>
      <c r="D142" s="4">
        <v>75613276</v>
      </c>
      <c r="E142" s="12" t="e">
        <f>VLOOKUP(D142,Datos!$A$1:$H$256,6,FALSE)</f>
        <v>#N/A</v>
      </c>
      <c r="F142" s="12" t="e">
        <f>VLOOKUP(D142,Datos!$A$1:$H$256,7,FALSE)</f>
        <v>#N/A</v>
      </c>
      <c r="G142" s="12" t="e">
        <f>VLOOKUP(D142,Datos!$A$1:$H$256,8,FALSE)</f>
        <v>#N/A</v>
      </c>
      <c r="H142" s="4" t="s">
        <v>39</v>
      </c>
      <c r="I142" s="4" t="s">
        <v>34</v>
      </c>
      <c r="J142" s="12" t="s">
        <v>42</v>
      </c>
      <c r="K142" s="4" t="s">
        <v>90</v>
      </c>
      <c r="L142" s="4">
        <v>10</v>
      </c>
      <c r="M142" s="11">
        <f t="shared" si="21"/>
        <v>0.4</v>
      </c>
      <c r="N142" s="4">
        <v>8</v>
      </c>
      <c r="O142" s="11">
        <f t="shared" si="22"/>
        <v>0.8</v>
      </c>
      <c r="P142" s="4">
        <v>7</v>
      </c>
      <c r="Q142" s="11">
        <f t="shared" si="23"/>
        <v>0.2</v>
      </c>
      <c r="R142" s="4">
        <v>7</v>
      </c>
      <c r="S142" s="11">
        <f t="shared" si="24"/>
        <v>0.23333333333333334</v>
      </c>
      <c r="T142" s="4">
        <f t="shared" si="25"/>
        <v>32</v>
      </c>
      <c r="U142" s="11">
        <f t="shared" si="26"/>
        <v>0.32</v>
      </c>
      <c r="V142" s="13" t="str">
        <f t="shared" si="27"/>
        <v>INGRESÓ</v>
      </c>
      <c r="W142" s="13" t="s">
        <v>88</v>
      </c>
      <c r="X142" s="14">
        <v>45745</v>
      </c>
      <c r="Y142" s="13" t="s">
        <v>96</v>
      </c>
      <c r="Z142" s="13" t="e">
        <f>VLOOKUP(D142,Datos!$A$1:$C$256,3,FALSE)</f>
        <v>#N/A</v>
      </c>
    </row>
    <row r="143" spans="1:26" hidden="1" x14ac:dyDescent="0.25">
      <c r="A143" s="4">
        <v>74</v>
      </c>
      <c r="B143" s="12" t="e">
        <f>VLOOKUP(D143,Datos!$A$1:$H$256,4,FALSE)</f>
        <v>#N/A</v>
      </c>
      <c r="C143" s="12" t="e">
        <f>VLOOKUP(D143,Datos!$A$1:$H$256,5,FALSE)</f>
        <v>#N/A</v>
      </c>
      <c r="D143" s="4">
        <v>32981561</v>
      </c>
      <c r="E143" s="12" t="e">
        <f>VLOOKUP(D143,Datos!$A$1:$H$256,6,FALSE)</f>
        <v>#N/A</v>
      </c>
      <c r="F143" s="12" t="e">
        <f>VLOOKUP(D143,Datos!$A$1:$H$256,7,FALSE)</f>
        <v>#N/A</v>
      </c>
      <c r="G143" s="12" t="e">
        <f>VLOOKUP(D143,Datos!$A$1:$H$256,8,FALSE)</f>
        <v>#N/A</v>
      </c>
      <c r="H143" s="4" t="s">
        <v>39</v>
      </c>
      <c r="I143" s="4" t="s">
        <v>99</v>
      </c>
      <c r="J143" s="12" t="s">
        <v>42</v>
      </c>
      <c r="K143" s="4" t="s">
        <v>90</v>
      </c>
      <c r="L143" s="4">
        <v>11</v>
      </c>
      <c r="M143" s="11">
        <f t="shared" si="21"/>
        <v>0.44</v>
      </c>
      <c r="N143" s="4">
        <v>7</v>
      </c>
      <c r="O143" s="11">
        <f t="shared" si="22"/>
        <v>0.7</v>
      </c>
      <c r="P143" s="4">
        <v>9</v>
      </c>
      <c r="Q143" s="11">
        <f t="shared" si="23"/>
        <v>0.25714285714285712</v>
      </c>
      <c r="R143" s="4">
        <v>9</v>
      </c>
      <c r="S143" s="11">
        <f t="shared" si="24"/>
        <v>0.3</v>
      </c>
      <c r="T143" s="4">
        <f t="shared" si="25"/>
        <v>36</v>
      </c>
      <c r="U143" s="11">
        <f t="shared" si="26"/>
        <v>0.36</v>
      </c>
      <c r="V143" s="13" t="str">
        <f t="shared" si="27"/>
        <v>INGRESÓ</v>
      </c>
      <c r="W143" s="13" t="s">
        <v>88</v>
      </c>
      <c r="X143" s="14">
        <v>45745</v>
      </c>
      <c r="Y143" s="13" t="s">
        <v>96</v>
      </c>
      <c r="Z143" s="13" t="e">
        <f>VLOOKUP(D143,Datos!$A$1:$C$256,3,FALSE)</f>
        <v>#N/A</v>
      </c>
    </row>
    <row r="144" spans="1:26" hidden="1" x14ac:dyDescent="0.25">
      <c r="A144" s="4">
        <v>75</v>
      </c>
      <c r="B144" s="12" t="e">
        <f>VLOOKUP(D144,Datos!$A$1:$H$256,4,FALSE)</f>
        <v>#N/A</v>
      </c>
      <c r="C144" s="12" t="e">
        <f>VLOOKUP(D144,Datos!$A$1:$H$256,5,FALSE)</f>
        <v>#N/A</v>
      </c>
      <c r="D144" s="4">
        <v>76430137</v>
      </c>
      <c r="E144" s="12" t="e">
        <f>VLOOKUP(D144,Datos!$A$1:$H$256,6,FALSE)</f>
        <v>#N/A</v>
      </c>
      <c r="F144" s="12" t="e">
        <f>VLOOKUP(D144,Datos!$A$1:$H$256,7,FALSE)</f>
        <v>#N/A</v>
      </c>
      <c r="G144" s="12" t="e">
        <f>VLOOKUP(D144,Datos!$A$1:$H$256,8,FALSE)</f>
        <v>#N/A</v>
      </c>
      <c r="H144" s="4" t="s">
        <v>39</v>
      </c>
      <c r="I144" s="4" t="s">
        <v>99</v>
      </c>
      <c r="J144" s="12" t="s">
        <v>42</v>
      </c>
      <c r="K144" s="4" t="s">
        <v>90</v>
      </c>
      <c r="L144" s="4">
        <v>10</v>
      </c>
      <c r="M144" s="11">
        <f t="shared" si="21"/>
        <v>0.4</v>
      </c>
      <c r="N144" s="4">
        <v>9</v>
      </c>
      <c r="O144" s="11">
        <f t="shared" si="22"/>
        <v>0.9</v>
      </c>
      <c r="P144" s="4">
        <v>10</v>
      </c>
      <c r="Q144" s="11">
        <f t="shared" si="23"/>
        <v>0.2857142857142857</v>
      </c>
      <c r="R144" s="4">
        <v>8</v>
      </c>
      <c r="S144" s="11">
        <f t="shared" si="24"/>
        <v>0.26666666666666666</v>
      </c>
      <c r="T144" s="4">
        <f t="shared" si="25"/>
        <v>37</v>
      </c>
      <c r="U144" s="11">
        <f t="shared" si="26"/>
        <v>0.37</v>
      </c>
      <c r="V144" s="13" t="str">
        <f t="shared" si="27"/>
        <v>INGRESÓ</v>
      </c>
      <c r="W144" s="13" t="s">
        <v>88</v>
      </c>
      <c r="X144" s="14">
        <v>45745</v>
      </c>
      <c r="Y144" s="13" t="s">
        <v>96</v>
      </c>
      <c r="Z144" s="13" t="e">
        <f>VLOOKUP(D144,Datos!$A$1:$C$256,3,FALSE)</f>
        <v>#N/A</v>
      </c>
    </row>
    <row r="145" spans="1:26" hidden="1" x14ac:dyDescent="0.25">
      <c r="A145" s="4">
        <v>76</v>
      </c>
      <c r="B145" s="12" t="e">
        <f>VLOOKUP(D145,Datos!$A$1:$H$256,4,FALSE)</f>
        <v>#N/A</v>
      </c>
      <c r="C145" s="12" t="e">
        <f>VLOOKUP(D145,Datos!$A$1:$H$256,5,FALSE)</f>
        <v>#N/A</v>
      </c>
      <c r="D145" s="4">
        <v>10431797</v>
      </c>
      <c r="E145" s="12" t="e">
        <f>VLOOKUP(D145,Datos!$A$1:$H$256,6,FALSE)</f>
        <v>#N/A</v>
      </c>
      <c r="F145" s="12" t="e">
        <f>VLOOKUP(D145,Datos!$A$1:$H$256,7,FALSE)</f>
        <v>#N/A</v>
      </c>
      <c r="G145" s="12" t="e">
        <f>VLOOKUP(D145,Datos!$A$1:$H$256,8,FALSE)</f>
        <v>#N/A</v>
      </c>
      <c r="H145" s="4" t="s">
        <v>39</v>
      </c>
      <c r="I145" s="4" t="s">
        <v>99</v>
      </c>
      <c r="J145" s="12" t="s">
        <v>42</v>
      </c>
      <c r="K145" s="4" t="s">
        <v>90</v>
      </c>
      <c r="L145" s="4">
        <v>7</v>
      </c>
      <c r="M145" s="11">
        <f t="shared" si="21"/>
        <v>0.28000000000000003</v>
      </c>
      <c r="N145" s="4">
        <v>10</v>
      </c>
      <c r="O145" s="11">
        <f t="shared" si="22"/>
        <v>1</v>
      </c>
      <c r="P145" s="4">
        <v>4</v>
      </c>
      <c r="Q145" s="11">
        <f t="shared" si="23"/>
        <v>0.11428571428571428</v>
      </c>
      <c r="R145" s="4">
        <v>8</v>
      </c>
      <c r="S145" s="11">
        <f t="shared" si="24"/>
        <v>0.26666666666666666</v>
      </c>
      <c r="T145" s="4">
        <f t="shared" si="25"/>
        <v>29</v>
      </c>
      <c r="U145" s="11">
        <f t="shared" si="26"/>
        <v>0.28999999999999998</v>
      </c>
      <c r="V145" s="13" t="str">
        <f t="shared" si="27"/>
        <v>INGRESÓ</v>
      </c>
      <c r="W145" s="13" t="s">
        <v>88</v>
      </c>
      <c r="X145" s="14">
        <v>45745</v>
      </c>
      <c r="Y145" s="13" t="s">
        <v>96</v>
      </c>
      <c r="Z145" s="13" t="e">
        <f>VLOOKUP(D145,Datos!$A$1:$C$256,3,FALSE)</f>
        <v>#N/A</v>
      </c>
    </row>
    <row r="146" spans="1:26" x14ac:dyDescent="0.25">
      <c r="A146" s="4">
        <v>77</v>
      </c>
      <c r="B146" s="12" t="e">
        <f>VLOOKUP(D146,Datos!$A$1:$H$256,4,FALSE)</f>
        <v>#N/A</v>
      </c>
      <c r="C146" s="12" t="e">
        <f>VLOOKUP(D146,Datos!$A$1:$H$256,5,FALSE)</f>
        <v>#N/A</v>
      </c>
      <c r="D146" s="4">
        <v>61247199</v>
      </c>
      <c r="E146" s="12" t="e">
        <f>VLOOKUP(D146,Datos!$A$1:$H$256,6,FALSE)</f>
        <v>#N/A</v>
      </c>
      <c r="F146" s="12" t="e">
        <f>VLOOKUP(D146,Datos!$A$1:$H$256,7,FALSE)</f>
        <v>#N/A</v>
      </c>
      <c r="G146" s="12" t="e">
        <f>VLOOKUP(D146,Datos!$A$1:$H$256,8,FALSE)</f>
        <v>#N/A</v>
      </c>
      <c r="H146" s="4" t="s">
        <v>39</v>
      </c>
      <c r="I146" s="4" t="s">
        <v>30</v>
      </c>
      <c r="J146" s="12" t="s">
        <v>42</v>
      </c>
      <c r="K146" s="4" t="s">
        <v>90</v>
      </c>
      <c r="L146" s="4">
        <v>6</v>
      </c>
      <c r="M146" s="11">
        <f t="shared" si="21"/>
        <v>0.24</v>
      </c>
      <c r="N146" s="4">
        <v>7</v>
      </c>
      <c r="O146" s="11">
        <f t="shared" si="22"/>
        <v>0.7</v>
      </c>
      <c r="P146" s="4">
        <v>8</v>
      </c>
      <c r="Q146" s="11">
        <f t="shared" si="23"/>
        <v>0.22857142857142856</v>
      </c>
      <c r="R146" s="4">
        <v>5</v>
      </c>
      <c r="S146" s="11">
        <f t="shared" si="24"/>
        <v>0.16666666666666666</v>
      </c>
      <c r="T146" s="4">
        <f t="shared" si="25"/>
        <v>26</v>
      </c>
      <c r="U146" s="11">
        <f t="shared" si="26"/>
        <v>0.26</v>
      </c>
      <c r="V146" s="13" t="str">
        <f t="shared" si="27"/>
        <v>INGRESÓ</v>
      </c>
      <c r="W146" s="13" t="s">
        <v>88</v>
      </c>
      <c r="X146" s="14">
        <v>45745</v>
      </c>
      <c r="Y146" s="13" t="s">
        <v>96</v>
      </c>
      <c r="Z146" s="13" t="e">
        <f>VLOOKUP(D146,Datos!$A$1:$C$256,3,FALSE)</f>
        <v>#N/A</v>
      </c>
    </row>
    <row r="147" spans="1:26" hidden="1" x14ac:dyDescent="0.25">
      <c r="A147" s="4">
        <v>78</v>
      </c>
      <c r="B147" s="12" t="e">
        <f>VLOOKUP(D147,Datos!$A$1:$H$256,4,FALSE)</f>
        <v>#N/A</v>
      </c>
      <c r="C147" s="12" t="e">
        <f>VLOOKUP(D147,Datos!$A$1:$H$256,5,FALSE)</f>
        <v>#N/A</v>
      </c>
      <c r="D147" s="4">
        <v>41930860</v>
      </c>
      <c r="E147" s="12" t="e">
        <f>VLOOKUP(D147,Datos!$A$1:$H$256,6,FALSE)</f>
        <v>#N/A</v>
      </c>
      <c r="F147" s="12" t="e">
        <f>VLOOKUP(D147,Datos!$A$1:$H$256,7,FALSE)</f>
        <v>#N/A</v>
      </c>
      <c r="G147" s="12" t="e">
        <f>VLOOKUP(D147,Datos!$A$1:$H$256,8,FALSE)</f>
        <v>#N/A</v>
      </c>
      <c r="H147" s="4" t="s">
        <v>39</v>
      </c>
      <c r="I147" s="4" t="s">
        <v>99</v>
      </c>
      <c r="J147" s="12" t="s">
        <v>42</v>
      </c>
      <c r="K147" s="4" t="s">
        <v>90</v>
      </c>
      <c r="L147" s="4">
        <v>11</v>
      </c>
      <c r="M147" s="11">
        <f t="shared" si="21"/>
        <v>0.44</v>
      </c>
      <c r="N147" s="4">
        <v>8</v>
      </c>
      <c r="O147" s="11">
        <f t="shared" si="22"/>
        <v>0.8</v>
      </c>
      <c r="P147" s="4">
        <v>14</v>
      </c>
      <c r="Q147" s="11">
        <f t="shared" si="23"/>
        <v>0.4</v>
      </c>
      <c r="R147" s="4">
        <v>4</v>
      </c>
      <c r="S147" s="11">
        <f t="shared" si="24"/>
        <v>0.13333333333333333</v>
      </c>
      <c r="T147" s="4">
        <f t="shared" si="25"/>
        <v>37</v>
      </c>
      <c r="U147" s="11">
        <f t="shared" si="26"/>
        <v>0.37</v>
      </c>
      <c r="V147" s="13" t="str">
        <f t="shared" si="27"/>
        <v>INGRESÓ</v>
      </c>
      <c r="W147" s="13" t="s">
        <v>88</v>
      </c>
      <c r="X147" s="14">
        <v>45745</v>
      </c>
      <c r="Y147" s="13" t="s">
        <v>96</v>
      </c>
      <c r="Z147" s="13" t="e">
        <f>VLOOKUP(D147,Datos!$A$1:$C$256,3,FALSE)</f>
        <v>#N/A</v>
      </c>
    </row>
    <row r="148" spans="1:26" hidden="1" x14ac:dyDescent="0.25">
      <c r="A148" s="4">
        <v>79</v>
      </c>
      <c r="B148" s="12" t="e">
        <f>VLOOKUP(D148,Datos!$A$1:$H$256,4,FALSE)</f>
        <v>#N/A</v>
      </c>
      <c r="C148" s="12" t="e">
        <f>VLOOKUP(D148,Datos!$A$1:$H$256,5,FALSE)</f>
        <v>#N/A</v>
      </c>
      <c r="D148" s="4">
        <v>77163881</v>
      </c>
      <c r="E148" s="12" t="e">
        <f>VLOOKUP(D148,Datos!$A$1:$H$256,6,FALSE)</f>
        <v>#N/A</v>
      </c>
      <c r="F148" s="12" t="e">
        <f>VLOOKUP(D148,Datos!$A$1:$H$256,7,FALSE)</f>
        <v>#N/A</v>
      </c>
      <c r="G148" s="12" t="e">
        <f>VLOOKUP(D148,Datos!$A$1:$H$256,8,FALSE)</f>
        <v>#N/A</v>
      </c>
      <c r="H148" s="4" t="s">
        <v>39</v>
      </c>
      <c r="I148" s="4" t="s">
        <v>99</v>
      </c>
      <c r="J148" s="12" t="s">
        <v>42</v>
      </c>
      <c r="K148" s="4" t="s">
        <v>90</v>
      </c>
      <c r="L148" s="4">
        <v>6</v>
      </c>
      <c r="M148" s="11">
        <f t="shared" si="21"/>
        <v>0.24</v>
      </c>
      <c r="N148" s="4">
        <v>8</v>
      </c>
      <c r="O148" s="11">
        <f t="shared" si="22"/>
        <v>0.8</v>
      </c>
      <c r="P148" s="4">
        <v>13</v>
      </c>
      <c r="Q148" s="11">
        <f t="shared" si="23"/>
        <v>0.37142857142857144</v>
      </c>
      <c r="R148" s="4">
        <v>3</v>
      </c>
      <c r="S148" s="11">
        <f t="shared" si="24"/>
        <v>0.1</v>
      </c>
      <c r="T148" s="4">
        <f t="shared" si="25"/>
        <v>30</v>
      </c>
      <c r="U148" s="11">
        <f t="shared" si="26"/>
        <v>0.3</v>
      </c>
      <c r="V148" s="13" t="str">
        <f t="shared" si="27"/>
        <v>INGRESÓ</v>
      </c>
      <c r="W148" s="13" t="s">
        <v>88</v>
      </c>
      <c r="X148" s="14">
        <v>45745</v>
      </c>
      <c r="Y148" s="13" t="s">
        <v>96</v>
      </c>
      <c r="Z148" s="13" t="e">
        <f>VLOOKUP(D148,Datos!$A$1:$C$256,3,FALSE)</f>
        <v>#N/A</v>
      </c>
    </row>
    <row r="149" spans="1:26" hidden="1" x14ac:dyDescent="0.25">
      <c r="A149" s="4">
        <v>80</v>
      </c>
      <c r="B149" s="12" t="e">
        <f>VLOOKUP(D149,Datos!$A$1:$H$256,4,FALSE)</f>
        <v>#N/A</v>
      </c>
      <c r="C149" s="12" t="e">
        <f>VLOOKUP(D149,Datos!$A$1:$H$256,5,FALSE)</f>
        <v>#N/A</v>
      </c>
      <c r="D149" s="4">
        <v>75838980</v>
      </c>
      <c r="E149" s="12" t="e">
        <f>VLOOKUP(D149,Datos!$A$1:$H$256,6,FALSE)</f>
        <v>#N/A</v>
      </c>
      <c r="F149" s="12" t="e">
        <f>VLOOKUP(D149,Datos!$A$1:$H$256,7,FALSE)</f>
        <v>#N/A</v>
      </c>
      <c r="G149" s="12" t="e">
        <f>VLOOKUP(D149,Datos!$A$1:$H$256,8,FALSE)</f>
        <v>#N/A</v>
      </c>
      <c r="H149" s="4" t="s">
        <v>39</v>
      </c>
      <c r="I149" s="4" t="s">
        <v>27</v>
      </c>
      <c r="J149" s="12" t="s">
        <v>42</v>
      </c>
      <c r="K149" s="4" t="s">
        <v>90</v>
      </c>
      <c r="L149" s="4">
        <v>3</v>
      </c>
      <c r="M149" s="11">
        <f t="shared" si="21"/>
        <v>0.12</v>
      </c>
      <c r="N149" s="4">
        <v>9</v>
      </c>
      <c r="O149" s="11">
        <f t="shared" si="22"/>
        <v>0.9</v>
      </c>
      <c r="P149" s="4">
        <v>10</v>
      </c>
      <c r="Q149" s="11">
        <f t="shared" si="23"/>
        <v>0.2857142857142857</v>
      </c>
      <c r="R149" s="4">
        <v>7</v>
      </c>
      <c r="S149" s="11">
        <f t="shared" si="24"/>
        <v>0.23333333333333334</v>
      </c>
      <c r="T149" s="4">
        <f t="shared" si="25"/>
        <v>29</v>
      </c>
      <c r="U149" s="11">
        <f t="shared" si="26"/>
        <v>0.28999999999999998</v>
      </c>
      <c r="V149" s="13" t="str">
        <f t="shared" si="27"/>
        <v>INGRESÓ</v>
      </c>
      <c r="W149" s="13" t="s">
        <v>88</v>
      </c>
      <c r="X149" s="14">
        <v>45745</v>
      </c>
      <c r="Y149" s="13" t="s">
        <v>96</v>
      </c>
      <c r="Z149" s="13" t="e">
        <f>VLOOKUP(D149,Datos!$A$1:$C$256,3,FALSE)</f>
        <v>#N/A</v>
      </c>
    </row>
    <row r="150" spans="1:26" hidden="1" x14ac:dyDescent="0.25">
      <c r="A150" s="4">
        <v>81</v>
      </c>
      <c r="B150" s="12" t="e">
        <f>VLOOKUP(D150,Datos!$A$1:$H$256,4,FALSE)</f>
        <v>#N/A</v>
      </c>
      <c r="C150" s="12" t="e">
        <f>VLOOKUP(D150,Datos!$A$1:$H$256,5,FALSE)</f>
        <v>#N/A</v>
      </c>
      <c r="D150" s="4">
        <v>61681968</v>
      </c>
      <c r="E150" s="12" t="e">
        <f>VLOOKUP(D150,Datos!$A$1:$H$256,6,FALSE)</f>
        <v>#N/A</v>
      </c>
      <c r="F150" s="12" t="e">
        <f>VLOOKUP(D150,Datos!$A$1:$H$256,7,FALSE)</f>
        <v>#N/A</v>
      </c>
      <c r="G150" s="12" t="e">
        <f>VLOOKUP(D150,Datos!$A$1:$H$256,8,FALSE)</f>
        <v>#N/A</v>
      </c>
      <c r="H150" s="4" t="s">
        <v>39</v>
      </c>
      <c r="I150" s="4" t="s">
        <v>34</v>
      </c>
      <c r="J150" s="12" t="s">
        <v>42</v>
      </c>
      <c r="K150" s="4" t="s">
        <v>90</v>
      </c>
      <c r="L150" s="4">
        <v>13</v>
      </c>
      <c r="M150" s="11">
        <f t="shared" si="21"/>
        <v>0.52</v>
      </c>
      <c r="N150" s="4">
        <v>7</v>
      </c>
      <c r="O150" s="11">
        <f t="shared" si="22"/>
        <v>0.7</v>
      </c>
      <c r="P150" s="4">
        <v>8</v>
      </c>
      <c r="Q150" s="11">
        <f t="shared" si="23"/>
        <v>0.22857142857142856</v>
      </c>
      <c r="R150" s="4">
        <v>11</v>
      </c>
      <c r="S150" s="11">
        <f t="shared" si="24"/>
        <v>0.36666666666666664</v>
      </c>
      <c r="T150" s="4">
        <f t="shared" si="25"/>
        <v>39</v>
      </c>
      <c r="U150" s="11">
        <f t="shared" si="26"/>
        <v>0.39</v>
      </c>
      <c r="V150" s="13" t="str">
        <f t="shared" si="27"/>
        <v>INGRESÓ</v>
      </c>
      <c r="W150" s="13" t="s">
        <v>88</v>
      </c>
      <c r="X150" s="14">
        <v>45745</v>
      </c>
      <c r="Y150" s="13" t="s">
        <v>96</v>
      </c>
      <c r="Z150" s="13" t="e">
        <f>VLOOKUP(D150,Datos!$A$1:$C$256,3,FALSE)</f>
        <v>#N/A</v>
      </c>
    </row>
    <row r="151" spans="1:26" x14ac:dyDescent="0.25">
      <c r="A151" s="4">
        <v>82</v>
      </c>
      <c r="B151" s="12" t="e">
        <f>VLOOKUP(D151,Datos!$A$1:$H$256,4,FALSE)</f>
        <v>#N/A</v>
      </c>
      <c r="C151" s="12" t="e">
        <f>VLOOKUP(D151,Datos!$A$1:$H$256,5,FALSE)</f>
        <v>#N/A</v>
      </c>
      <c r="D151" s="4">
        <v>63363686</v>
      </c>
      <c r="E151" s="12" t="e">
        <f>VLOOKUP(D151,Datos!$A$1:$H$256,6,FALSE)</f>
        <v>#N/A</v>
      </c>
      <c r="F151" s="12" t="e">
        <f>VLOOKUP(D151,Datos!$A$1:$H$256,7,FALSE)</f>
        <v>#N/A</v>
      </c>
      <c r="G151" s="12" t="e">
        <f>VLOOKUP(D151,Datos!$A$1:$H$256,8,FALSE)</f>
        <v>#N/A</v>
      </c>
      <c r="H151" s="4" t="s">
        <v>39</v>
      </c>
      <c r="I151" s="4" t="s">
        <v>30</v>
      </c>
      <c r="J151" s="12" t="s">
        <v>42</v>
      </c>
      <c r="K151" s="4" t="s">
        <v>90</v>
      </c>
      <c r="L151" s="4">
        <v>8</v>
      </c>
      <c r="M151" s="11">
        <f t="shared" si="21"/>
        <v>0.32</v>
      </c>
      <c r="N151" s="4">
        <v>10</v>
      </c>
      <c r="O151" s="11">
        <f t="shared" si="22"/>
        <v>1</v>
      </c>
      <c r="P151" s="4">
        <v>8</v>
      </c>
      <c r="Q151" s="11">
        <f t="shared" si="23"/>
        <v>0.22857142857142856</v>
      </c>
      <c r="R151" s="4">
        <v>7</v>
      </c>
      <c r="S151" s="11">
        <f t="shared" si="24"/>
        <v>0.23333333333333334</v>
      </c>
      <c r="T151" s="4">
        <f t="shared" si="25"/>
        <v>33</v>
      </c>
      <c r="U151" s="11">
        <f t="shared" si="26"/>
        <v>0.33</v>
      </c>
      <c r="V151" s="13" t="str">
        <f t="shared" si="27"/>
        <v>INGRESÓ</v>
      </c>
      <c r="W151" s="13" t="s">
        <v>88</v>
      </c>
      <c r="X151" s="14">
        <v>45745</v>
      </c>
      <c r="Y151" s="13" t="s">
        <v>96</v>
      </c>
      <c r="Z151" s="13" t="e">
        <f>VLOOKUP(D151,Datos!$A$1:$C$256,3,FALSE)</f>
        <v>#N/A</v>
      </c>
    </row>
    <row r="152" spans="1:26" x14ac:dyDescent="0.25">
      <c r="A152" s="4">
        <v>83</v>
      </c>
      <c r="B152" s="12" t="e">
        <f>VLOOKUP(D152,Datos!$A$1:$H$256,4,FALSE)</f>
        <v>#N/A</v>
      </c>
      <c r="C152" s="12" t="e">
        <f>VLOOKUP(D152,Datos!$A$1:$H$256,5,FALSE)</f>
        <v>#N/A</v>
      </c>
      <c r="D152" s="4">
        <v>73503119</v>
      </c>
      <c r="E152" s="12" t="e">
        <f>VLOOKUP(D152,Datos!$A$1:$H$256,6,FALSE)</f>
        <v>#N/A</v>
      </c>
      <c r="F152" s="12" t="e">
        <f>VLOOKUP(D152,Datos!$A$1:$H$256,7,FALSE)</f>
        <v>#N/A</v>
      </c>
      <c r="G152" s="12" t="e">
        <f>VLOOKUP(D152,Datos!$A$1:$H$256,8,FALSE)</f>
        <v>#N/A</v>
      </c>
      <c r="H152" s="4" t="s">
        <v>39</v>
      </c>
      <c r="I152" s="4" t="s">
        <v>30</v>
      </c>
      <c r="J152" s="12" t="s">
        <v>42</v>
      </c>
      <c r="K152" s="4" t="s">
        <v>90</v>
      </c>
      <c r="L152" s="4">
        <v>12</v>
      </c>
      <c r="M152" s="11">
        <f t="shared" si="21"/>
        <v>0.48</v>
      </c>
      <c r="N152" s="4">
        <v>10</v>
      </c>
      <c r="O152" s="11">
        <f t="shared" si="22"/>
        <v>1</v>
      </c>
      <c r="P152" s="4">
        <v>18</v>
      </c>
      <c r="Q152" s="11">
        <f t="shared" si="23"/>
        <v>0.51428571428571423</v>
      </c>
      <c r="R152" s="4">
        <v>17</v>
      </c>
      <c r="S152" s="11">
        <f t="shared" si="24"/>
        <v>0.56666666666666665</v>
      </c>
      <c r="T152" s="4">
        <f t="shared" si="25"/>
        <v>57</v>
      </c>
      <c r="U152" s="11">
        <f t="shared" si="26"/>
        <v>0.56999999999999995</v>
      </c>
      <c r="V152" s="13" t="str">
        <f t="shared" si="27"/>
        <v>INGRESÓ</v>
      </c>
      <c r="W152" s="13" t="s">
        <v>88</v>
      </c>
      <c r="X152" s="14">
        <v>45745</v>
      </c>
      <c r="Y152" s="13" t="s">
        <v>96</v>
      </c>
      <c r="Z152" s="13" t="e">
        <f>VLOOKUP(D152,Datos!$A$1:$C$256,3,FALSE)</f>
        <v>#N/A</v>
      </c>
    </row>
    <row r="153" spans="1:26" hidden="1" x14ac:dyDescent="0.25">
      <c r="A153" s="4">
        <v>84</v>
      </c>
      <c r="B153" s="12" t="e">
        <f>VLOOKUP(D153,Datos!$A$1:$H$256,4,FALSE)</f>
        <v>#N/A</v>
      </c>
      <c r="C153" s="12" t="e">
        <f>VLOOKUP(D153,Datos!$A$1:$H$256,5,FALSE)</f>
        <v>#N/A</v>
      </c>
      <c r="D153" s="4">
        <v>21876224</v>
      </c>
      <c r="E153" s="12" t="e">
        <f>VLOOKUP(D153,Datos!$A$1:$H$256,6,FALSE)</f>
        <v>#N/A</v>
      </c>
      <c r="F153" s="12" t="e">
        <f>VLOOKUP(D153,Datos!$A$1:$H$256,7,FALSE)</f>
        <v>#N/A</v>
      </c>
      <c r="G153" s="12" t="e">
        <f>VLOOKUP(D153,Datos!$A$1:$H$256,8,FALSE)</f>
        <v>#N/A</v>
      </c>
      <c r="H153" s="4" t="s">
        <v>39</v>
      </c>
      <c r="I153" s="4" t="s">
        <v>27</v>
      </c>
      <c r="J153" s="12" t="s">
        <v>42</v>
      </c>
      <c r="K153" s="4" t="s">
        <v>90</v>
      </c>
      <c r="L153" s="4">
        <v>9</v>
      </c>
      <c r="M153" s="11">
        <f t="shared" si="21"/>
        <v>0.36</v>
      </c>
      <c r="N153" s="4">
        <v>7</v>
      </c>
      <c r="O153" s="11">
        <f t="shared" si="22"/>
        <v>0.7</v>
      </c>
      <c r="P153" s="4">
        <v>5</v>
      </c>
      <c r="Q153" s="11">
        <f t="shared" si="23"/>
        <v>0.14285714285714285</v>
      </c>
      <c r="R153" s="4">
        <v>6</v>
      </c>
      <c r="S153" s="11">
        <f t="shared" si="24"/>
        <v>0.2</v>
      </c>
      <c r="T153" s="4">
        <f t="shared" si="25"/>
        <v>27</v>
      </c>
      <c r="U153" s="11">
        <f t="shared" si="26"/>
        <v>0.27</v>
      </c>
      <c r="V153" s="13" t="str">
        <f t="shared" si="27"/>
        <v>INGRESÓ</v>
      </c>
      <c r="W153" s="13" t="s">
        <v>88</v>
      </c>
      <c r="X153" s="14">
        <v>45745</v>
      </c>
      <c r="Y153" s="13" t="s">
        <v>96</v>
      </c>
      <c r="Z153" s="13" t="e">
        <f>VLOOKUP(D153,Datos!$A$1:$C$256,3,FALSE)</f>
        <v>#N/A</v>
      </c>
    </row>
    <row r="154" spans="1:26" hidden="1" x14ac:dyDescent="0.25">
      <c r="A154" s="4">
        <v>85</v>
      </c>
      <c r="B154" s="12" t="e">
        <f>VLOOKUP(D154,Datos!$A$1:$H$256,4,FALSE)</f>
        <v>#N/A</v>
      </c>
      <c r="C154" s="12" t="e">
        <f>VLOOKUP(D154,Datos!$A$1:$H$256,5,FALSE)</f>
        <v>#N/A</v>
      </c>
      <c r="D154" s="4">
        <v>60214946</v>
      </c>
      <c r="E154" s="12" t="e">
        <f>VLOOKUP(D154,Datos!$A$1:$H$256,6,FALSE)</f>
        <v>#N/A</v>
      </c>
      <c r="F154" s="12" t="e">
        <f>VLOOKUP(D154,Datos!$A$1:$H$256,7,FALSE)</f>
        <v>#N/A</v>
      </c>
      <c r="G154" s="12" t="e">
        <f>VLOOKUP(D154,Datos!$A$1:$H$256,8,FALSE)</f>
        <v>#N/A</v>
      </c>
      <c r="H154" s="4" t="s">
        <v>39</v>
      </c>
      <c r="I154" s="4" t="s">
        <v>102</v>
      </c>
      <c r="J154" s="12" t="s">
        <v>42</v>
      </c>
      <c r="K154" s="4" t="s">
        <v>90</v>
      </c>
      <c r="L154" s="4">
        <v>4</v>
      </c>
      <c r="M154" s="11">
        <f t="shared" si="21"/>
        <v>0.16</v>
      </c>
      <c r="N154" s="4">
        <v>10</v>
      </c>
      <c r="O154" s="11">
        <f t="shared" si="22"/>
        <v>1</v>
      </c>
      <c r="P154" s="4">
        <v>7</v>
      </c>
      <c r="Q154" s="11">
        <f t="shared" si="23"/>
        <v>0.2</v>
      </c>
      <c r="R154" s="4">
        <v>8</v>
      </c>
      <c r="S154" s="11">
        <f t="shared" si="24"/>
        <v>0.26666666666666666</v>
      </c>
      <c r="T154" s="4">
        <f t="shared" si="25"/>
        <v>29</v>
      </c>
      <c r="U154" s="11">
        <f t="shared" si="26"/>
        <v>0.28999999999999998</v>
      </c>
      <c r="V154" s="13" t="str">
        <f t="shared" si="27"/>
        <v>INGRESÓ</v>
      </c>
      <c r="W154" s="13" t="s">
        <v>88</v>
      </c>
      <c r="X154" s="14">
        <v>45745</v>
      </c>
      <c r="Y154" s="13" t="s">
        <v>96</v>
      </c>
      <c r="Z154" s="13" t="e">
        <f>VLOOKUP(D154,Datos!$A$1:$C$256,3,FALSE)</f>
        <v>#N/A</v>
      </c>
    </row>
    <row r="155" spans="1:26" hidden="1" x14ac:dyDescent="0.25">
      <c r="A155" s="4">
        <v>86</v>
      </c>
      <c r="B155" s="12" t="e">
        <f>VLOOKUP(D155,Datos!$A$1:$H$256,4,FALSE)</f>
        <v>#N/A</v>
      </c>
      <c r="C155" s="12" t="e">
        <f>VLOOKUP(D155,Datos!$A$1:$H$256,5,FALSE)</f>
        <v>#N/A</v>
      </c>
      <c r="D155" s="4">
        <v>47325083</v>
      </c>
      <c r="E155" s="12" t="e">
        <f>VLOOKUP(D155,Datos!$A$1:$H$256,6,FALSE)</f>
        <v>#N/A</v>
      </c>
      <c r="F155" s="12" t="e">
        <f>VLOOKUP(D155,Datos!$A$1:$H$256,7,FALSE)</f>
        <v>#N/A</v>
      </c>
      <c r="G155" s="12" t="e">
        <f>VLOOKUP(D155,Datos!$A$1:$H$256,8,FALSE)</f>
        <v>#N/A</v>
      </c>
      <c r="H155" s="4" t="s">
        <v>39</v>
      </c>
      <c r="I155" s="4" t="s">
        <v>99</v>
      </c>
      <c r="J155" s="12" t="s">
        <v>42</v>
      </c>
      <c r="K155" s="4" t="s">
        <v>90</v>
      </c>
      <c r="L155" s="4">
        <v>9</v>
      </c>
      <c r="M155" s="11">
        <f t="shared" si="21"/>
        <v>0.36</v>
      </c>
      <c r="N155" s="4">
        <v>10</v>
      </c>
      <c r="O155" s="11">
        <f t="shared" si="22"/>
        <v>1</v>
      </c>
      <c r="P155" s="4">
        <v>7</v>
      </c>
      <c r="Q155" s="11">
        <f t="shared" si="23"/>
        <v>0.2</v>
      </c>
      <c r="R155" s="4">
        <v>10</v>
      </c>
      <c r="S155" s="11">
        <f t="shared" si="24"/>
        <v>0.33333333333333331</v>
      </c>
      <c r="T155" s="4">
        <f t="shared" si="25"/>
        <v>36</v>
      </c>
      <c r="U155" s="11">
        <f t="shared" si="26"/>
        <v>0.36</v>
      </c>
      <c r="V155" s="13" t="str">
        <f t="shared" si="27"/>
        <v>INGRESÓ</v>
      </c>
      <c r="W155" s="13" t="s">
        <v>88</v>
      </c>
      <c r="X155" s="14">
        <v>45745</v>
      </c>
      <c r="Y155" s="13" t="s">
        <v>96</v>
      </c>
      <c r="Z155" s="13" t="e">
        <f>VLOOKUP(D155,Datos!$A$1:$C$256,3,FALSE)</f>
        <v>#N/A</v>
      </c>
    </row>
    <row r="156" spans="1:26" hidden="1" x14ac:dyDescent="0.25">
      <c r="A156" s="4">
        <v>87</v>
      </c>
      <c r="B156" s="12" t="e">
        <f>VLOOKUP(D156,Datos!$A$1:$H$256,4,FALSE)</f>
        <v>#N/A</v>
      </c>
      <c r="C156" s="12" t="e">
        <f>VLOOKUP(D156,Datos!$A$1:$H$256,5,FALSE)</f>
        <v>#N/A</v>
      </c>
      <c r="D156" s="4">
        <v>40955606</v>
      </c>
      <c r="E156" s="12" t="e">
        <f>VLOOKUP(D156,Datos!$A$1:$H$256,6,FALSE)</f>
        <v>#N/A</v>
      </c>
      <c r="F156" s="12" t="e">
        <f>VLOOKUP(D156,Datos!$A$1:$H$256,7,FALSE)</f>
        <v>#N/A</v>
      </c>
      <c r="G156" s="12" t="e">
        <f>VLOOKUP(D156,Datos!$A$1:$H$256,8,FALSE)</f>
        <v>#N/A</v>
      </c>
      <c r="H156" s="4" t="s">
        <v>39</v>
      </c>
      <c r="I156" s="4" t="s">
        <v>99</v>
      </c>
      <c r="J156" s="12" t="s">
        <v>42</v>
      </c>
      <c r="K156" s="4" t="s">
        <v>90</v>
      </c>
      <c r="L156" s="4">
        <v>7</v>
      </c>
      <c r="M156" s="11">
        <f t="shared" si="21"/>
        <v>0.28000000000000003</v>
      </c>
      <c r="N156" s="4">
        <v>9</v>
      </c>
      <c r="O156" s="11">
        <f t="shared" si="22"/>
        <v>0.9</v>
      </c>
      <c r="P156" s="4">
        <v>4</v>
      </c>
      <c r="Q156" s="11">
        <f t="shared" si="23"/>
        <v>0.11428571428571428</v>
      </c>
      <c r="R156" s="4">
        <v>8</v>
      </c>
      <c r="S156" s="11">
        <f t="shared" si="24"/>
        <v>0.26666666666666666</v>
      </c>
      <c r="T156" s="4">
        <f t="shared" si="25"/>
        <v>28</v>
      </c>
      <c r="U156" s="11">
        <f t="shared" si="26"/>
        <v>0.28000000000000003</v>
      </c>
      <c r="V156" s="13" t="str">
        <f t="shared" si="27"/>
        <v>INGRESÓ</v>
      </c>
      <c r="W156" s="13" t="s">
        <v>88</v>
      </c>
      <c r="X156" s="14">
        <v>45745</v>
      </c>
      <c r="Y156" s="13" t="s">
        <v>96</v>
      </c>
      <c r="Z156" s="13" t="e">
        <f>VLOOKUP(D156,Datos!$A$1:$C$256,3,FALSE)</f>
        <v>#N/A</v>
      </c>
    </row>
    <row r="157" spans="1:26" hidden="1" x14ac:dyDescent="0.25">
      <c r="A157" s="4">
        <v>88</v>
      </c>
      <c r="B157" s="12" t="e">
        <f>VLOOKUP(D157,Datos!$A$1:$H$256,4,FALSE)</f>
        <v>#N/A</v>
      </c>
      <c r="C157" s="12" t="e">
        <f>VLOOKUP(D157,Datos!$A$1:$H$256,5,FALSE)</f>
        <v>#N/A</v>
      </c>
      <c r="D157" s="4">
        <v>72397440</v>
      </c>
      <c r="E157" s="12" t="e">
        <f>VLOOKUP(D157,Datos!$A$1:$H$256,6,FALSE)</f>
        <v>#N/A</v>
      </c>
      <c r="F157" s="12" t="e">
        <f>VLOOKUP(D157,Datos!$A$1:$H$256,7,FALSE)</f>
        <v>#N/A</v>
      </c>
      <c r="G157" s="12" t="e">
        <f>VLOOKUP(D157,Datos!$A$1:$H$256,8,FALSE)</f>
        <v>#N/A</v>
      </c>
      <c r="H157" s="4" t="s">
        <v>39</v>
      </c>
      <c r="I157" s="4" t="s">
        <v>99</v>
      </c>
      <c r="J157" s="12" t="s">
        <v>42</v>
      </c>
      <c r="K157" s="4" t="s">
        <v>90</v>
      </c>
      <c r="L157" s="4">
        <v>9</v>
      </c>
      <c r="M157" s="11">
        <f t="shared" si="21"/>
        <v>0.36</v>
      </c>
      <c r="N157" s="4">
        <v>1</v>
      </c>
      <c r="O157" s="11">
        <f t="shared" si="22"/>
        <v>0.1</v>
      </c>
      <c r="P157" s="4">
        <v>8</v>
      </c>
      <c r="Q157" s="11">
        <f t="shared" si="23"/>
        <v>0.22857142857142856</v>
      </c>
      <c r="R157" s="4">
        <v>5</v>
      </c>
      <c r="S157" s="11">
        <f t="shared" si="24"/>
        <v>0.16666666666666666</v>
      </c>
      <c r="T157" s="4">
        <f t="shared" si="25"/>
        <v>23</v>
      </c>
      <c r="U157" s="11">
        <f t="shared" si="26"/>
        <v>0.23</v>
      </c>
      <c r="V157" s="13" t="str">
        <f t="shared" si="27"/>
        <v>INGRESÓ</v>
      </c>
      <c r="W157" s="13" t="s">
        <v>88</v>
      </c>
      <c r="X157" s="14">
        <v>45745</v>
      </c>
      <c r="Y157" s="13" t="s">
        <v>96</v>
      </c>
      <c r="Z157" s="13" t="e">
        <f>VLOOKUP(D157,Datos!$A$1:$C$256,3,FALSE)</f>
        <v>#N/A</v>
      </c>
    </row>
    <row r="158" spans="1:26" hidden="1" x14ac:dyDescent="0.25">
      <c r="A158" s="4">
        <v>89</v>
      </c>
      <c r="B158" s="12" t="e">
        <f>VLOOKUP(D158,Datos!$A$1:$H$256,4,FALSE)</f>
        <v>#N/A</v>
      </c>
      <c r="C158" s="12" t="e">
        <f>VLOOKUP(D158,Datos!$A$1:$H$256,5,FALSE)</f>
        <v>#N/A</v>
      </c>
      <c r="D158" s="4">
        <v>48328193</v>
      </c>
      <c r="E158" s="12" t="e">
        <f>VLOOKUP(D158,Datos!$A$1:$H$256,6,FALSE)</f>
        <v>#N/A</v>
      </c>
      <c r="F158" s="12" t="e">
        <f>VLOOKUP(D158,Datos!$A$1:$H$256,7,FALSE)</f>
        <v>#N/A</v>
      </c>
      <c r="G158" s="12" t="e">
        <f>VLOOKUP(D158,Datos!$A$1:$H$256,8,FALSE)</f>
        <v>#N/A</v>
      </c>
      <c r="H158" s="4" t="s">
        <v>39</v>
      </c>
      <c r="I158" s="4" t="s">
        <v>27</v>
      </c>
      <c r="J158" s="12" t="s">
        <v>42</v>
      </c>
      <c r="K158" s="4" t="s">
        <v>90</v>
      </c>
      <c r="L158" s="4">
        <v>7</v>
      </c>
      <c r="M158" s="11">
        <f t="shared" si="21"/>
        <v>0.28000000000000003</v>
      </c>
      <c r="N158" s="4">
        <v>9</v>
      </c>
      <c r="O158" s="11">
        <f t="shared" si="22"/>
        <v>0.9</v>
      </c>
      <c r="P158" s="4">
        <v>11</v>
      </c>
      <c r="Q158" s="11">
        <f t="shared" si="23"/>
        <v>0.31428571428571428</v>
      </c>
      <c r="R158" s="4">
        <v>10</v>
      </c>
      <c r="S158" s="11">
        <f t="shared" si="24"/>
        <v>0.33333333333333331</v>
      </c>
      <c r="T158" s="4">
        <f t="shared" si="25"/>
        <v>37</v>
      </c>
      <c r="U158" s="11">
        <f t="shared" si="26"/>
        <v>0.37</v>
      </c>
      <c r="V158" s="13" t="str">
        <f t="shared" si="27"/>
        <v>INGRESÓ</v>
      </c>
      <c r="W158" s="13" t="s">
        <v>88</v>
      </c>
      <c r="X158" s="14">
        <v>45745</v>
      </c>
      <c r="Y158" s="13" t="s">
        <v>96</v>
      </c>
      <c r="Z158" s="13" t="e">
        <f>VLOOKUP(D158,Datos!$A$1:$C$256,3,FALSE)</f>
        <v>#N/A</v>
      </c>
    </row>
    <row r="159" spans="1:26" hidden="1" x14ac:dyDescent="0.25">
      <c r="A159" s="4">
        <v>90</v>
      </c>
      <c r="B159" s="12" t="e">
        <f>VLOOKUP(D159,Datos!$A$1:$H$256,4,FALSE)</f>
        <v>#N/A</v>
      </c>
      <c r="C159" s="12" t="e">
        <f>VLOOKUP(D159,Datos!$A$1:$H$256,5,FALSE)</f>
        <v>#N/A</v>
      </c>
      <c r="D159" s="4">
        <v>75203799</v>
      </c>
      <c r="E159" s="12" t="e">
        <f>VLOOKUP(D159,Datos!$A$1:$H$256,6,FALSE)</f>
        <v>#N/A</v>
      </c>
      <c r="F159" s="12" t="e">
        <f>VLOOKUP(D159,Datos!$A$1:$H$256,7,FALSE)</f>
        <v>#N/A</v>
      </c>
      <c r="G159" s="12" t="e">
        <f>VLOOKUP(D159,Datos!$A$1:$H$256,8,FALSE)</f>
        <v>#N/A</v>
      </c>
      <c r="H159" s="4" t="s">
        <v>39</v>
      </c>
      <c r="I159" s="4" t="s">
        <v>99</v>
      </c>
      <c r="J159" s="12" t="s">
        <v>42</v>
      </c>
      <c r="K159" s="4" t="s">
        <v>90</v>
      </c>
      <c r="L159" s="4">
        <v>11</v>
      </c>
      <c r="M159" s="11">
        <f t="shared" si="21"/>
        <v>0.44</v>
      </c>
      <c r="N159" s="4">
        <v>7</v>
      </c>
      <c r="O159" s="11">
        <f t="shared" si="22"/>
        <v>0.7</v>
      </c>
      <c r="P159" s="4">
        <v>11</v>
      </c>
      <c r="Q159" s="11">
        <f t="shared" si="23"/>
        <v>0.31428571428571428</v>
      </c>
      <c r="R159" s="4">
        <v>6</v>
      </c>
      <c r="S159" s="11">
        <f t="shared" si="24"/>
        <v>0.2</v>
      </c>
      <c r="T159" s="4">
        <f t="shared" si="25"/>
        <v>35</v>
      </c>
      <c r="U159" s="11">
        <f t="shared" si="26"/>
        <v>0.35</v>
      </c>
      <c r="V159" s="13" t="str">
        <f t="shared" si="27"/>
        <v>INGRESÓ</v>
      </c>
      <c r="W159" s="13" t="s">
        <v>88</v>
      </c>
      <c r="X159" s="14">
        <v>45745</v>
      </c>
      <c r="Y159" s="13" t="s">
        <v>96</v>
      </c>
      <c r="Z159" s="13" t="e">
        <f>VLOOKUP(D159,Datos!$A$1:$C$256,3,FALSE)</f>
        <v>#N/A</v>
      </c>
    </row>
    <row r="160" spans="1:26" hidden="1" x14ac:dyDescent="0.25">
      <c r="A160" s="4">
        <v>91</v>
      </c>
      <c r="B160" s="12" t="e">
        <f>VLOOKUP(D160,Datos!$A$1:$H$256,4,FALSE)</f>
        <v>#N/A</v>
      </c>
      <c r="C160" s="12" t="e">
        <f>VLOOKUP(D160,Datos!$A$1:$H$256,5,FALSE)</f>
        <v>#N/A</v>
      </c>
      <c r="D160" s="4">
        <v>41455544</v>
      </c>
      <c r="E160" s="12" t="e">
        <f>VLOOKUP(D160,Datos!$A$1:$H$256,6,FALSE)</f>
        <v>#N/A</v>
      </c>
      <c r="F160" s="12" t="e">
        <f>VLOOKUP(D160,Datos!$A$1:$H$256,7,FALSE)</f>
        <v>#N/A</v>
      </c>
      <c r="G160" s="12" t="e">
        <f>VLOOKUP(D160,Datos!$A$1:$H$256,8,FALSE)</f>
        <v>#N/A</v>
      </c>
      <c r="H160" s="4" t="s">
        <v>39</v>
      </c>
      <c r="I160" s="4" t="s">
        <v>101</v>
      </c>
      <c r="J160" s="12" t="s">
        <v>42</v>
      </c>
      <c r="K160" s="4" t="s">
        <v>90</v>
      </c>
      <c r="L160" s="4">
        <v>2</v>
      </c>
      <c r="M160" s="11">
        <f t="shared" si="21"/>
        <v>0.08</v>
      </c>
      <c r="N160" s="4">
        <v>5</v>
      </c>
      <c r="O160" s="11">
        <f t="shared" si="22"/>
        <v>0.5</v>
      </c>
      <c r="P160" s="4">
        <v>6</v>
      </c>
      <c r="Q160" s="11">
        <f t="shared" si="23"/>
        <v>0.17142857142857143</v>
      </c>
      <c r="R160" s="4">
        <v>6</v>
      </c>
      <c r="S160" s="11">
        <f t="shared" si="24"/>
        <v>0.2</v>
      </c>
      <c r="T160" s="4">
        <f t="shared" si="25"/>
        <v>19</v>
      </c>
      <c r="U160" s="11">
        <f t="shared" si="26"/>
        <v>0.19</v>
      </c>
      <c r="V160" s="13" t="str">
        <f t="shared" si="27"/>
        <v>INGRESÓ</v>
      </c>
      <c r="W160" s="13" t="s">
        <v>88</v>
      </c>
      <c r="X160" s="14">
        <v>45745</v>
      </c>
      <c r="Y160" s="13" t="s">
        <v>96</v>
      </c>
      <c r="Z160" s="13" t="e">
        <f>VLOOKUP(D160,Datos!$A$1:$C$256,3,FALSE)</f>
        <v>#N/A</v>
      </c>
    </row>
    <row r="161" spans="1:26" x14ac:dyDescent="0.25">
      <c r="A161" s="4">
        <v>92</v>
      </c>
      <c r="B161" s="12" t="e">
        <f>VLOOKUP(D161,Datos!$A$1:$H$256,4,FALSE)</f>
        <v>#N/A</v>
      </c>
      <c r="C161" s="12" t="e">
        <f>VLOOKUP(D161,Datos!$A$1:$H$256,5,FALSE)</f>
        <v>#N/A</v>
      </c>
      <c r="D161" s="4">
        <v>48000117</v>
      </c>
      <c r="E161" s="12" t="e">
        <f>VLOOKUP(D161,Datos!$A$1:$H$256,6,FALSE)</f>
        <v>#N/A</v>
      </c>
      <c r="F161" s="12" t="e">
        <f>VLOOKUP(D161,Datos!$A$1:$H$256,7,FALSE)</f>
        <v>#N/A</v>
      </c>
      <c r="G161" s="12" t="e">
        <f>VLOOKUP(D161,Datos!$A$1:$H$256,8,FALSE)</f>
        <v>#N/A</v>
      </c>
      <c r="H161" s="4" t="s">
        <v>39</v>
      </c>
      <c r="I161" s="4" t="s">
        <v>30</v>
      </c>
      <c r="J161" s="12" t="s">
        <v>42</v>
      </c>
      <c r="K161" s="4" t="s">
        <v>90</v>
      </c>
      <c r="L161" s="4">
        <v>7</v>
      </c>
      <c r="M161" s="11">
        <f t="shared" si="21"/>
        <v>0.28000000000000003</v>
      </c>
      <c r="N161" s="4">
        <v>8</v>
      </c>
      <c r="O161" s="11">
        <f t="shared" si="22"/>
        <v>0.8</v>
      </c>
      <c r="P161" s="4">
        <v>7</v>
      </c>
      <c r="Q161" s="11">
        <f t="shared" si="23"/>
        <v>0.2</v>
      </c>
      <c r="R161" s="4">
        <v>12</v>
      </c>
      <c r="S161" s="11">
        <f t="shared" si="24"/>
        <v>0.4</v>
      </c>
      <c r="T161" s="4">
        <f t="shared" si="25"/>
        <v>34</v>
      </c>
      <c r="U161" s="11">
        <f t="shared" si="26"/>
        <v>0.34</v>
      </c>
      <c r="V161" s="13" t="str">
        <f t="shared" si="27"/>
        <v>INGRESÓ</v>
      </c>
      <c r="W161" s="13" t="s">
        <v>88</v>
      </c>
      <c r="X161" s="14">
        <v>45745</v>
      </c>
      <c r="Y161" s="13" t="s">
        <v>96</v>
      </c>
      <c r="Z161" s="13" t="e">
        <f>VLOOKUP(D161,Datos!$A$1:$C$256,3,FALSE)</f>
        <v>#N/A</v>
      </c>
    </row>
    <row r="162" spans="1:26" x14ac:dyDescent="0.25">
      <c r="A162" s="4">
        <v>93</v>
      </c>
      <c r="B162" s="12" t="e">
        <f>VLOOKUP(D162,Datos!$A$1:$H$256,4,FALSE)</f>
        <v>#N/A</v>
      </c>
      <c r="C162" s="12" t="e">
        <f>VLOOKUP(D162,Datos!$A$1:$H$256,5,FALSE)</f>
        <v>#N/A</v>
      </c>
      <c r="D162" s="4">
        <v>61205771</v>
      </c>
      <c r="E162" s="12" t="e">
        <f>VLOOKUP(D162,Datos!$A$1:$H$256,6,FALSE)</f>
        <v>#N/A</v>
      </c>
      <c r="F162" s="12" t="e">
        <f>VLOOKUP(D162,Datos!$A$1:$H$256,7,FALSE)</f>
        <v>#N/A</v>
      </c>
      <c r="G162" s="12" t="e">
        <f>VLOOKUP(D162,Datos!$A$1:$H$256,8,FALSE)</f>
        <v>#N/A</v>
      </c>
      <c r="H162" s="4" t="s">
        <v>39</v>
      </c>
      <c r="I162" s="4" t="s">
        <v>30</v>
      </c>
      <c r="J162" s="12" t="s">
        <v>42</v>
      </c>
      <c r="K162" s="4" t="s">
        <v>90</v>
      </c>
      <c r="L162" s="4">
        <v>7</v>
      </c>
      <c r="M162" s="11">
        <f t="shared" si="21"/>
        <v>0.28000000000000003</v>
      </c>
      <c r="N162" s="4">
        <v>4</v>
      </c>
      <c r="O162" s="11">
        <f t="shared" si="22"/>
        <v>0.4</v>
      </c>
      <c r="P162" s="4">
        <v>7</v>
      </c>
      <c r="Q162" s="11">
        <f t="shared" si="23"/>
        <v>0.2</v>
      </c>
      <c r="R162" s="4">
        <v>4</v>
      </c>
      <c r="S162" s="11">
        <f t="shared" si="24"/>
        <v>0.13333333333333333</v>
      </c>
      <c r="T162" s="4">
        <f t="shared" si="25"/>
        <v>22</v>
      </c>
      <c r="U162" s="11">
        <f t="shared" si="26"/>
        <v>0.22</v>
      </c>
      <c r="V162" s="13" t="str">
        <f t="shared" si="27"/>
        <v>INGRESÓ</v>
      </c>
      <c r="W162" s="13" t="s">
        <v>88</v>
      </c>
      <c r="X162" s="14">
        <v>45745</v>
      </c>
      <c r="Y162" s="13" t="s">
        <v>96</v>
      </c>
      <c r="Z162" s="13" t="e">
        <f>VLOOKUP(D162,Datos!$A$1:$C$256,3,FALSE)</f>
        <v>#N/A</v>
      </c>
    </row>
    <row r="163" spans="1:26" hidden="1" x14ac:dyDescent="0.25">
      <c r="A163" s="4">
        <v>94</v>
      </c>
      <c r="B163" s="12" t="e">
        <f>VLOOKUP(D163,Datos!$A$1:$H$256,4,FALSE)</f>
        <v>#N/A</v>
      </c>
      <c r="C163" s="12" t="e">
        <f>VLOOKUP(D163,Datos!$A$1:$H$256,5,FALSE)</f>
        <v>#N/A</v>
      </c>
      <c r="D163" s="4">
        <v>75162233</v>
      </c>
      <c r="E163" s="12" t="e">
        <f>VLOOKUP(D163,Datos!$A$1:$H$256,6,FALSE)</f>
        <v>#N/A</v>
      </c>
      <c r="F163" s="12" t="e">
        <f>VLOOKUP(D163,Datos!$A$1:$H$256,7,FALSE)</f>
        <v>#N/A</v>
      </c>
      <c r="G163" s="12" t="e">
        <f>VLOOKUP(D163,Datos!$A$1:$H$256,8,FALSE)</f>
        <v>#N/A</v>
      </c>
      <c r="H163" s="4" t="s">
        <v>39</v>
      </c>
      <c r="I163" s="4" t="s">
        <v>100</v>
      </c>
      <c r="J163" s="12" t="s">
        <v>42</v>
      </c>
      <c r="K163" s="4" t="s">
        <v>90</v>
      </c>
      <c r="L163" s="4">
        <v>14</v>
      </c>
      <c r="M163" s="11">
        <f t="shared" si="21"/>
        <v>0.56000000000000005</v>
      </c>
      <c r="N163" s="4">
        <v>10</v>
      </c>
      <c r="O163" s="11">
        <f t="shared" si="22"/>
        <v>1</v>
      </c>
      <c r="P163" s="4">
        <v>14</v>
      </c>
      <c r="Q163" s="11">
        <f t="shared" si="23"/>
        <v>0.4</v>
      </c>
      <c r="R163" s="4">
        <v>9</v>
      </c>
      <c r="S163" s="11">
        <f t="shared" si="24"/>
        <v>0.3</v>
      </c>
      <c r="T163" s="4">
        <f t="shared" si="25"/>
        <v>47</v>
      </c>
      <c r="U163" s="11">
        <f t="shared" si="26"/>
        <v>0.47</v>
      </c>
      <c r="V163" s="13" t="str">
        <f t="shared" si="27"/>
        <v>INGRESÓ</v>
      </c>
      <c r="W163" s="13" t="s">
        <v>88</v>
      </c>
      <c r="X163" s="14">
        <v>45745</v>
      </c>
      <c r="Y163" s="13" t="s">
        <v>96</v>
      </c>
      <c r="Z163" s="13" t="e">
        <f>VLOOKUP(D163,Datos!$A$1:$C$256,3,FALSE)</f>
        <v>#N/A</v>
      </c>
    </row>
    <row r="164" spans="1:26" x14ac:dyDescent="0.25">
      <c r="A164" s="4">
        <v>95</v>
      </c>
      <c r="B164" s="12" t="e">
        <f>VLOOKUP(D164,Datos!$A$1:$H$256,4,FALSE)</f>
        <v>#N/A</v>
      </c>
      <c r="C164" s="12" t="e">
        <f>VLOOKUP(D164,Datos!$A$1:$H$256,5,FALSE)</f>
        <v>#N/A</v>
      </c>
      <c r="D164" s="4">
        <v>60886394</v>
      </c>
      <c r="E164" s="12" t="e">
        <f>VLOOKUP(D164,Datos!$A$1:$H$256,6,FALSE)</f>
        <v>#N/A</v>
      </c>
      <c r="F164" s="12" t="e">
        <f>VLOOKUP(D164,Datos!$A$1:$H$256,7,FALSE)</f>
        <v>#N/A</v>
      </c>
      <c r="G164" s="12" t="e">
        <f>VLOOKUP(D164,Datos!$A$1:$H$256,8,FALSE)</f>
        <v>#N/A</v>
      </c>
      <c r="H164" s="4" t="s">
        <v>39</v>
      </c>
      <c r="I164" s="4" t="s">
        <v>30</v>
      </c>
      <c r="J164" s="12" t="s">
        <v>42</v>
      </c>
      <c r="K164" s="4" t="s">
        <v>90</v>
      </c>
      <c r="L164" s="4">
        <v>8</v>
      </c>
      <c r="M164" s="11">
        <f t="shared" si="21"/>
        <v>0.32</v>
      </c>
      <c r="N164" s="4">
        <v>9</v>
      </c>
      <c r="O164" s="11">
        <f t="shared" si="22"/>
        <v>0.9</v>
      </c>
      <c r="P164" s="4">
        <v>6</v>
      </c>
      <c r="Q164" s="11">
        <f t="shared" si="23"/>
        <v>0.17142857142857143</v>
      </c>
      <c r="R164" s="4">
        <v>8</v>
      </c>
      <c r="S164" s="11">
        <f t="shared" si="24"/>
        <v>0.26666666666666666</v>
      </c>
      <c r="T164" s="4">
        <f t="shared" si="25"/>
        <v>31</v>
      </c>
      <c r="U164" s="11">
        <f t="shared" si="26"/>
        <v>0.31</v>
      </c>
      <c r="V164" s="13" t="str">
        <f t="shared" si="27"/>
        <v>INGRESÓ</v>
      </c>
      <c r="W164" s="13" t="s">
        <v>88</v>
      </c>
      <c r="X164" s="14">
        <v>45745</v>
      </c>
      <c r="Y164" s="13" t="s">
        <v>96</v>
      </c>
      <c r="Z164" s="13" t="e">
        <f>VLOOKUP(D164,Datos!$A$1:$C$256,3,FALSE)</f>
        <v>#N/A</v>
      </c>
    </row>
    <row r="165" spans="1:26" hidden="1" x14ac:dyDescent="0.25">
      <c r="A165" s="4">
        <v>96</v>
      </c>
      <c r="B165" s="12" t="e">
        <f>VLOOKUP(D165,Datos!$A$1:$H$256,4,FALSE)</f>
        <v>#N/A</v>
      </c>
      <c r="C165" s="12" t="e">
        <f>VLOOKUP(D165,Datos!$A$1:$H$256,5,FALSE)</f>
        <v>#N/A</v>
      </c>
      <c r="D165" s="4">
        <v>61075689</v>
      </c>
      <c r="E165" s="12" t="e">
        <f>VLOOKUP(D165,Datos!$A$1:$H$256,6,FALSE)</f>
        <v>#N/A</v>
      </c>
      <c r="F165" s="12" t="e">
        <f>VLOOKUP(D165,Datos!$A$1:$H$256,7,FALSE)</f>
        <v>#N/A</v>
      </c>
      <c r="G165" s="12" t="e">
        <f>VLOOKUP(D165,Datos!$A$1:$H$256,8,FALSE)</f>
        <v>#N/A</v>
      </c>
      <c r="H165" s="4" t="s">
        <v>39</v>
      </c>
      <c r="I165" s="4" t="s">
        <v>34</v>
      </c>
      <c r="J165" s="12" t="s">
        <v>42</v>
      </c>
      <c r="K165" s="4" t="s">
        <v>90</v>
      </c>
      <c r="L165" s="4">
        <v>4</v>
      </c>
      <c r="M165" s="11">
        <f t="shared" si="21"/>
        <v>0.16</v>
      </c>
      <c r="N165" s="4">
        <v>8</v>
      </c>
      <c r="O165" s="11">
        <f t="shared" si="22"/>
        <v>0.8</v>
      </c>
      <c r="P165" s="4">
        <v>9</v>
      </c>
      <c r="Q165" s="11">
        <f t="shared" si="23"/>
        <v>0.25714285714285712</v>
      </c>
      <c r="R165" s="4">
        <v>5</v>
      </c>
      <c r="S165" s="11">
        <f t="shared" si="24"/>
        <v>0.16666666666666666</v>
      </c>
      <c r="T165" s="4">
        <f t="shared" si="25"/>
        <v>26</v>
      </c>
      <c r="U165" s="11">
        <f t="shared" si="26"/>
        <v>0.26</v>
      </c>
      <c r="V165" s="13" t="str">
        <f t="shared" si="27"/>
        <v>INGRESÓ</v>
      </c>
      <c r="W165" s="13" t="s">
        <v>88</v>
      </c>
      <c r="X165" s="14">
        <v>45745</v>
      </c>
      <c r="Y165" s="13" t="s">
        <v>96</v>
      </c>
      <c r="Z165" s="13" t="e">
        <f>VLOOKUP(D165,Datos!$A$1:$C$256,3,FALSE)</f>
        <v>#N/A</v>
      </c>
    </row>
    <row r="166" spans="1:26" hidden="1" x14ac:dyDescent="0.25">
      <c r="A166" s="4">
        <v>97</v>
      </c>
      <c r="B166" s="12" t="e">
        <f>VLOOKUP(D166,Datos!$A$1:$H$256,4,FALSE)</f>
        <v>#N/A</v>
      </c>
      <c r="C166" s="12" t="e">
        <f>VLOOKUP(D166,Datos!$A$1:$H$256,5,FALSE)</f>
        <v>#N/A</v>
      </c>
      <c r="D166" s="4">
        <v>75989587</v>
      </c>
      <c r="E166" s="12" t="e">
        <f>VLOOKUP(D166,Datos!$A$1:$H$256,6,FALSE)</f>
        <v>#N/A</v>
      </c>
      <c r="F166" s="12" t="e">
        <f>VLOOKUP(D166,Datos!$A$1:$H$256,7,FALSE)</f>
        <v>#N/A</v>
      </c>
      <c r="G166" s="12" t="e">
        <f>VLOOKUP(D166,Datos!$A$1:$H$256,8,FALSE)</f>
        <v>#N/A</v>
      </c>
      <c r="H166" s="4" t="s">
        <v>39</v>
      </c>
      <c r="I166" s="4" t="s">
        <v>99</v>
      </c>
      <c r="J166" s="12" t="s">
        <v>42</v>
      </c>
      <c r="K166" s="4" t="s">
        <v>90</v>
      </c>
      <c r="L166" s="4">
        <v>1</v>
      </c>
      <c r="M166" s="11">
        <f t="shared" si="21"/>
        <v>0.04</v>
      </c>
      <c r="N166" s="4">
        <v>6</v>
      </c>
      <c r="O166" s="11">
        <f t="shared" si="22"/>
        <v>0.6</v>
      </c>
      <c r="P166" s="4">
        <v>7</v>
      </c>
      <c r="Q166" s="11">
        <f t="shared" si="23"/>
        <v>0.2</v>
      </c>
      <c r="R166" s="4">
        <v>6</v>
      </c>
      <c r="S166" s="11">
        <f t="shared" si="24"/>
        <v>0.2</v>
      </c>
      <c r="T166" s="4">
        <f t="shared" si="25"/>
        <v>20</v>
      </c>
      <c r="U166" s="11">
        <f t="shared" si="26"/>
        <v>0.2</v>
      </c>
      <c r="V166" s="13" t="str">
        <f t="shared" si="27"/>
        <v>INGRESÓ</v>
      </c>
      <c r="W166" s="13" t="s">
        <v>88</v>
      </c>
      <c r="X166" s="14">
        <v>45745</v>
      </c>
      <c r="Y166" s="13" t="s">
        <v>96</v>
      </c>
      <c r="Z166" s="13" t="e">
        <f>VLOOKUP(D166,Datos!$A$1:$C$256,3,FALSE)</f>
        <v>#N/A</v>
      </c>
    </row>
    <row r="167" spans="1:26" hidden="1" x14ac:dyDescent="0.25">
      <c r="A167" s="4">
        <v>98</v>
      </c>
      <c r="B167" s="12" t="e">
        <f>VLOOKUP(D167,Datos!$A$1:$H$256,4,FALSE)</f>
        <v>#N/A</v>
      </c>
      <c r="C167" s="12" t="e">
        <f>VLOOKUP(D167,Datos!$A$1:$H$256,5,FALSE)</f>
        <v>#N/A</v>
      </c>
      <c r="D167" s="4">
        <v>75951281</v>
      </c>
      <c r="E167" s="12" t="e">
        <f>VLOOKUP(D167,Datos!$A$1:$H$256,6,FALSE)</f>
        <v>#N/A</v>
      </c>
      <c r="F167" s="12" t="e">
        <f>VLOOKUP(D167,Datos!$A$1:$H$256,7,FALSE)</f>
        <v>#N/A</v>
      </c>
      <c r="G167" s="12" t="e">
        <f>VLOOKUP(D167,Datos!$A$1:$H$256,8,FALSE)</f>
        <v>#N/A</v>
      </c>
      <c r="H167" s="4" t="s">
        <v>39</v>
      </c>
      <c r="I167" s="4" t="s">
        <v>99</v>
      </c>
      <c r="J167" s="12" t="s">
        <v>42</v>
      </c>
      <c r="K167" s="4" t="s">
        <v>90</v>
      </c>
      <c r="L167" s="4">
        <v>14</v>
      </c>
      <c r="M167" s="11">
        <f t="shared" si="21"/>
        <v>0.56000000000000005</v>
      </c>
      <c r="N167" s="4">
        <v>10</v>
      </c>
      <c r="O167" s="11">
        <f t="shared" si="22"/>
        <v>1</v>
      </c>
      <c r="P167" s="4">
        <v>20</v>
      </c>
      <c r="Q167" s="11">
        <f t="shared" si="23"/>
        <v>0.5714285714285714</v>
      </c>
      <c r="R167" s="4">
        <v>12</v>
      </c>
      <c r="S167" s="11">
        <f t="shared" si="24"/>
        <v>0.4</v>
      </c>
      <c r="T167" s="4">
        <f t="shared" si="25"/>
        <v>56</v>
      </c>
      <c r="U167" s="11">
        <f t="shared" si="26"/>
        <v>0.56000000000000005</v>
      </c>
      <c r="V167" s="13" t="str">
        <f t="shared" si="27"/>
        <v>INGRESÓ</v>
      </c>
      <c r="W167" s="13" t="s">
        <v>88</v>
      </c>
      <c r="X167" s="14">
        <v>45745</v>
      </c>
      <c r="Y167" s="13" t="s">
        <v>96</v>
      </c>
      <c r="Z167" s="13" t="e">
        <f>VLOOKUP(D167,Datos!$A$1:$C$256,3,FALSE)</f>
        <v>#N/A</v>
      </c>
    </row>
    <row r="168" spans="1:26" x14ac:dyDescent="0.25">
      <c r="A168" s="4">
        <v>99</v>
      </c>
      <c r="B168" s="12" t="e">
        <f>VLOOKUP(D168,Datos!$A$1:$H$256,4,FALSE)</f>
        <v>#N/A</v>
      </c>
      <c r="C168" s="12" t="e">
        <f>VLOOKUP(D168,Datos!$A$1:$H$256,5,FALSE)</f>
        <v>#N/A</v>
      </c>
      <c r="D168" s="4">
        <v>44799738</v>
      </c>
      <c r="E168" s="12" t="e">
        <f>VLOOKUP(D168,Datos!$A$1:$H$256,6,FALSE)</f>
        <v>#N/A</v>
      </c>
      <c r="F168" s="12" t="e">
        <f>VLOOKUP(D168,Datos!$A$1:$H$256,7,FALSE)</f>
        <v>#N/A</v>
      </c>
      <c r="G168" s="12" t="e">
        <f>VLOOKUP(D168,Datos!$A$1:$H$256,8,FALSE)</f>
        <v>#N/A</v>
      </c>
      <c r="H168" s="4" t="s">
        <v>39</v>
      </c>
      <c r="I168" s="4" t="s">
        <v>30</v>
      </c>
      <c r="J168" s="12" t="s">
        <v>42</v>
      </c>
      <c r="K168" s="4" t="s">
        <v>90</v>
      </c>
      <c r="L168" s="4">
        <v>8</v>
      </c>
      <c r="M168" s="11">
        <f t="shared" si="21"/>
        <v>0.32</v>
      </c>
      <c r="N168" s="4">
        <v>8</v>
      </c>
      <c r="O168" s="11">
        <f t="shared" si="22"/>
        <v>0.8</v>
      </c>
      <c r="P168" s="4">
        <v>9</v>
      </c>
      <c r="Q168" s="11">
        <f t="shared" si="23"/>
        <v>0.25714285714285712</v>
      </c>
      <c r="R168" s="4">
        <v>9</v>
      </c>
      <c r="S168" s="11">
        <f t="shared" si="24"/>
        <v>0.3</v>
      </c>
      <c r="T168" s="4">
        <f t="shared" si="25"/>
        <v>34</v>
      </c>
      <c r="U168" s="11">
        <f t="shared" si="26"/>
        <v>0.34</v>
      </c>
      <c r="V168" s="13" t="str">
        <f t="shared" si="27"/>
        <v>INGRESÓ</v>
      </c>
      <c r="W168" s="13" t="s">
        <v>88</v>
      </c>
      <c r="X168" s="14">
        <v>45745</v>
      </c>
      <c r="Y168" s="13" t="s">
        <v>96</v>
      </c>
      <c r="Z168" s="13" t="e">
        <f>VLOOKUP(D168,Datos!$A$1:$C$256,3,FALSE)</f>
        <v>#N/A</v>
      </c>
    </row>
    <row r="169" spans="1:26" hidden="1" x14ac:dyDescent="0.25">
      <c r="A169" s="4">
        <v>100</v>
      </c>
      <c r="B169" s="12" t="e">
        <f>VLOOKUP(D169,Datos!$A$1:$H$256,4,FALSE)</f>
        <v>#N/A</v>
      </c>
      <c r="C169" s="12" t="e">
        <f>VLOOKUP(D169,Datos!$A$1:$H$256,5,FALSE)</f>
        <v>#N/A</v>
      </c>
      <c r="D169" s="4">
        <v>61134626</v>
      </c>
      <c r="E169" s="12" t="e">
        <f>VLOOKUP(D169,Datos!$A$1:$H$256,6,FALSE)</f>
        <v>#N/A</v>
      </c>
      <c r="F169" s="12" t="e">
        <f>VLOOKUP(D169,Datos!$A$1:$H$256,7,FALSE)</f>
        <v>#N/A</v>
      </c>
      <c r="G169" s="12" t="e">
        <f>VLOOKUP(D169,Datos!$A$1:$H$256,8,FALSE)</f>
        <v>#N/A</v>
      </c>
      <c r="H169" s="4" t="s">
        <v>39</v>
      </c>
      <c r="I169" s="4" t="s">
        <v>34</v>
      </c>
      <c r="J169" s="12" t="s">
        <v>42</v>
      </c>
      <c r="K169" s="4" t="s">
        <v>90</v>
      </c>
      <c r="L169" s="4">
        <v>8</v>
      </c>
      <c r="M169" s="11">
        <f t="shared" si="21"/>
        <v>0.32</v>
      </c>
      <c r="N169" s="4">
        <v>9</v>
      </c>
      <c r="O169" s="11">
        <f t="shared" si="22"/>
        <v>0.9</v>
      </c>
      <c r="P169" s="4">
        <v>10</v>
      </c>
      <c r="Q169" s="11">
        <f t="shared" si="23"/>
        <v>0.2857142857142857</v>
      </c>
      <c r="R169" s="4">
        <v>8</v>
      </c>
      <c r="S169" s="11">
        <f t="shared" si="24"/>
        <v>0.26666666666666666</v>
      </c>
      <c r="T169" s="4">
        <f t="shared" si="25"/>
        <v>35</v>
      </c>
      <c r="U169" s="11">
        <f t="shared" si="26"/>
        <v>0.35</v>
      </c>
      <c r="V169" s="13" t="str">
        <f t="shared" si="27"/>
        <v>INGRESÓ</v>
      </c>
      <c r="W169" s="13" t="s">
        <v>88</v>
      </c>
      <c r="X169" s="14">
        <v>45745</v>
      </c>
      <c r="Y169" s="13" t="s">
        <v>96</v>
      </c>
      <c r="Z169" s="13" t="e">
        <f>VLOOKUP(D169,Datos!$A$1:$C$256,3,FALSE)</f>
        <v>#N/A</v>
      </c>
    </row>
    <row r="170" spans="1:26" x14ac:dyDescent="0.25">
      <c r="A170" s="4">
        <v>101</v>
      </c>
      <c r="B170" s="12" t="e">
        <f>VLOOKUP(D170,Datos!$A$1:$H$256,4,FALSE)</f>
        <v>#N/A</v>
      </c>
      <c r="C170" s="12" t="e">
        <f>VLOOKUP(D170,Datos!$A$1:$H$256,5,FALSE)</f>
        <v>#N/A</v>
      </c>
      <c r="D170" s="4">
        <v>44246446</v>
      </c>
      <c r="E170" s="12" t="e">
        <f>VLOOKUP(D170,Datos!$A$1:$H$256,6,FALSE)</f>
        <v>#N/A</v>
      </c>
      <c r="F170" s="12" t="e">
        <f>VLOOKUP(D170,Datos!$A$1:$H$256,7,FALSE)</f>
        <v>#N/A</v>
      </c>
      <c r="G170" s="12" t="e">
        <f>VLOOKUP(D170,Datos!$A$1:$H$256,8,FALSE)</f>
        <v>#N/A</v>
      </c>
      <c r="H170" s="4" t="s">
        <v>39</v>
      </c>
      <c r="I170" s="4" t="s">
        <v>30</v>
      </c>
      <c r="J170" s="12" t="s">
        <v>42</v>
      </c>
      <c r="K170" s="4" t="s">
        <v>90</v>
      </c>
      <c r="L170" s="4">
        <v>8</v>
      </c>
      <c r="M170" s="11">
        <f t="shared" si="21"/>
        <v>0.32</v>
      </c>
      <c r="N170" s="4">
        <v>10</v>
      </c>
      <c r="O170" s="11">
        <f t="shared" si="22"/>
        <v>1</v>
      </c>
      <c r="P170" s="4">
        <v>9</v>
      </c>
      <c r="Q170" s="11">
        <f t="shared" si="23"/>
        <v>0.25714285714285712</v>
      </c>
      <c r="R170" s="4">
        <v>11</v>
      </c>
      <c r="S170" s="11">
        <f t="shared" si="24"/>
        <v>0.36666666666666664</v>
      </c>
      <c r="T170" s="4">
        <f t="shared" si="25"/>
        <v>38</v>
      </c>
      <c r="U170" s="11">
        <f t="shared" si="26"/>
        <v>0.38</v>
      </c>
      <c r="V170" s="13" t="str">
        <f t="shared" si="27"/>
        <v>INGRESÓ</v>
      </c>
      <c r="W170" s="13" t="s">
        <v>88</v>
      </c>
      <c r="X170" s="14">
        <v>45745</v>
      </c>
      <c r="Y170" s="13" t="s">
        <v>96</v>
      </c>
      <c r="Z170" s="13" t="e">
        <f>VLOOKUP(D170,Datos!$A$1:$C$256,3,FALSE)</f>
        <v>#N/A</v>
      </c>
    </row>
    <row r="171" spans="1:26" hidden="1" x14ac:dyDescent="0.25">
      <c r="A171" s="4">
        <v>102</v>
      </c>
      <c r="B171" s="12" t="e">
        <f>VLOOKUP(D171,Datos!$A$1:$H$256,4,FALSE)</f>
        <v>#N/A</v>
      </c>
      <c r="C171" s="12" t="e">
        <f>VLOOKUP(D171,Datos!$A$1:$H$256,5,FALSE)</f>
        <v>#N/A</v>
      </c>
      <c r="D171" s="4">
        <v>61075673</v>
      </c>
      <c r="E171" s="12" t="e">
        <f>VLOOKUP(D171,Datos!$A$1:$H$256,6,FALSE)</f>
        <v>#N/A</v>
      </c>
      <c r="F171" s="12" t="e">
        <f>VLOOKUP(D171,Datos!$A$1:$H$256,7,FALSE)</f>
        <v>#N/A</v>
      </c>
      <c r="G171" s="12" t="e">
        <f>VLOOKUP(D171,Datos!$A$1:$H$256,8,FALSE)</f>
        <v>#N/A</v>
      </c>
      <c r="H171" s="4" t="s">
        <v>39</v>
      </c>
      <c r="I171" s="4" t="s">
        <v>34</v>
      </c>
      <c r="J171" s="12" t="s">
        <v>42</v>
      </c>
      <c r="K171" s="4" t="s">
        <v>90</v>
      </c>
      <c r="L171" s="4">
        <v>8</v>
      </c>
      <c r="M171" s="11">
        <f t="shared" si="21"/>
        <v>0.32</v>
      </c>
      <c r="N171" s="4">
        <v>9</v>
      </c>
      <c r="O171" s="11">
        <f t="shared" si="22"/>
        <v>0.9</v>
      </c>
      <c r="P171" s="4">
        <v>7</v>
      </c>
      <c r="Q171" s="11">
        <f t="shared" si="23"/>
        <v>0.2</v>
      </c>
      <c r="R171" s="4">
        <v>6</v>
      </c>
      <c r="S171" s="11">
        <f t="shared" si="24"/>
        <v>0.2</v>
      </c>
      <c r="T171" s="4">
        <f t="shared" si="25"/>
        <v>30</v>
      </c>
      <c r="U171" s="11">
        <f t="shared" si="26"/>
        <v>0.3</v>
      </c>
      <c r="V171" s="13" t="str">
        <f t="shared" si="27"/>
        <v>INGRESÓ</v>
      </c>
      <c r="W171" s="13" t="s">
        <v>88</v>
      </c>
      <c r="X171" s="14">
        <v>45745</v>
      </c>
      <c r="Y171" s="13" t="s">
        <v>96</v>
      </c>
      <c r="Z171" s="13" t="e">
        <f>VLOOKUP(D171,Datos!$A$1:$C$256,3,FALSE)</f>
        <v>#N/A</v>
      </c>
    </row>
    <row r="172" spans="1:26" hidden="1" x14ac:dyDescent="0.25">
      <c r="A172" s="4">
        <v>103</v>
      </c>
      <c r="B172" s="12" t="e">
        <f>VLOOKUP(D172,Datos!$A$1:$H$256,4,FALSE)</f>
        <v>#N/A</v>
      </c>
      <c r="C172" s="12" t="e">
        <f>VLOOKUP(D172,Datos!$A$1:$H$256,5,FALSE)</f>
        <v>#N/A</v>
      </c>
      <c r="D172" s="4">
        <v>10358119</v>
      </c>
      <c r="E172" s="12" t="e">
        <f>VLOOKUP(D172,Datos!$A$1:$H$256,6,FALSE)</f>
        <v>#N/A</v>
      </c>
      <c r="F172" s="12" t="e">
        <f>VLOOKUP(D172,Datos!$A$1:$H$256,7,FALSE)</f>
        <v>#N/A</v>
      </c>
      <c r="G172" s="12" t="e">
        <f>VLOOKUP(D172,Datos!$A$1:$H$256,8,FALSE)</f>
        <v>#N/A</v>
      </c>
      <c r="H172" s="4" t="s">
        <v>39</v>
      </c>
      <c r="I172" s="4" t="s">
        <v>99</v>
      </c>
      <c r="J172" s="12" t="s">
        <v>42</v>
      </c>
      <c r="K172" s="4" t="s">
        <v>90</v>
      </c>
      <c r="L172" s="4">
        <v>9</v>
      </c>
      <c r="M172" s="11">
        <f t="shared" si="21"/>
        <v>0.36</v>
      </c>
      <c r="N172" s="4">
        <v>8</v>
      </c>
      <c r="O172" s="11">
        <f t="shared" si="22"/>
        <v>0.8</v>
      </c>
      <c r="P172" s="4">
        <v>7</v>
      </c>
      <c r="Q172" s="11">
        <f t="shared" si="23"/>
        <v>0.2</v>
      </c>
      <c r="R172" s="4">
        <v>8</v>
      </c>
      <c r="S172" s="11">
        <f t="shared" si="24"/>
        <v>0.26666666666666666</v>
      </c>
      <c r="T172" s="4">
        <f t="shared" si="25"/>
        <v>32</v>
      </c>
      <c r="U172" s="11">
        <f t="shared" si="26"/>
        <v>0.32</v>
      </c>
      <c r="V172" s="13" t="str">
        <f t="shared" si="27"/>
        <v>INGRESÓ</v>
      </c>
      <c r="W172" s="13" t="s">
        <v>88</v>
      </c>
      <c r="X172" s="14">
        <v>45745</v>
      </c>
      <c r="Y172" s="13" t="s">
        <v>96</v>
      </c>
      <c r="Z172" s="13" t="e">
        <f>VLOOKUP(D172,Datos!$A$1:$C$256,3,FALSE)</f>
        <v>#N/A</v>
      </c>
    </row>
    <row r="173" spans="1:26" hidden="1" x14ac:dyDescent="0.25">
      <c r="A173" s="4">
        <v>104</v>
      </c>
      <c r="B173" s="12" t="e">
        <f>VLOOKUP(D173,Datos!$A$1:$H$256,4,FALSE)</f>
        <v>#N/A</v>
      </c>
      <c r="C173" s="12" t="e">
        <f>VLOOKUP(D173,Datos!$A$1:$H$256,5,FALSE)</f>
        <v>#N/A</v>
      </c>
      <c r="D173" s="4">
        <v>60352129</v>
      </c>
      <c r="E173" s="12" t="e">
        <f>VLOOKUP(D173,Datos!$A$1:$H$256,6,FALSE)</f>
        <v>#N/A</v>
      </c>
      <c r="F173" s="12" t="e">
        <f>VLOOKUP(D173,Datos!$A$1:$H$256,7,FALSE)</f>
        <v>#N/A</v>
      </c>
      <c r="G173" s="12" t="e">
        <f>VLOOKUP(D173,Datos!$A$1:$H$256,8,FALSE)</f>
        <v>#N/A</v>
      </c>
      <c r="H173" s="4" t="s">
        <v>39</v>
      </c>
      <c r="I173" s="4" t="s">
        <v>27</v>
      </c>
      <c r="J173" s="12" t="s">
        <v>42</v>
      </c>
      <c r="K173" s="4" t="s">
        <v>90</v>
      </c>
      <c r="L173" s="4">
        <v>10</v>
      </c>
      <c r="M173" s="11">
        <f t="shared" si="21"/>
        <v>0.4</v>
      </c>
      <c r="N173" s="4">
        <v>9</v>
      </c>
      <c r="O173" s="11">
        <f t="shared" si="22"/>
        <v>0.9</v>
      </c>
      <c r="P173" s="4">
        <v>18</v>
      </c>
      <c r="Q173" s="11">
        <f t="shared" si="23"/>
        <v>0.51428571428571423</v>
      </c>
      <c r="R173" s="4">
        <v>10</v>
      </c>
      <c r="S173" s="11">
        <f t="shared" si="24"/>
        <v>0.33333333333333331</v>
      </c>
      <c r="T173" s="4">
        <f t="shared" si="25"/>
        <v>47</v>
      </c>
      <c r="U173" s="11">
        <f t="shared" si="26"/>
        <v>0.47</v>
      </c>
      <c r="V173" s="13" t="str">
        <f t="shared" si="27"/>
        <v>INGRESÓ</v>
      </c>
      <c r="W173" s="13" t="s">
        <v>88</v>
      </c>
      <c r="X173" s="14">
        <v>45745</v>
      </c>
      <c r="Y173" s="13" t="s">
        <v>96</v>
      </c>
      <c r="Z173" s="13" t="e">
        <f>VLOOKUP(D173,Datos!$A$1:$C$256,3,FALSE)</f>
        <v>#N/A</v>
      </c>
    </row>
    <row r="174" spans="1:26" hidden="1" x14ac:dyDescent="0.25">
      <c r="A174" s="4">
        <v>105</v>
      </c>
      <c r="B174" s="12" t="e">
        <f>VLOOKUP(D174,Datos!$A$1:$H$256,4,FALSE)</f>
        <v>#N/A</v>
      </c>
      <c r="C174" s="12" t="e">
        <f>VLOOKUP(D174,Datos!$A$1:$H$256,5,FALSE)</f>
        <v>#N/A</v>
      </c>
      <c r="D174" s="4">
        <v>72361721</v>
      </c>
      <c r="E174" s="12" t="e">
        <f>VLOOKUP(D174,Datos!$A$1:$H$256,6,FALSE)</f>
        <v>#N/A</v>
      </c>
      <c r="F174" s="12" t="e">
        <f>VLOOKUP(D174,Datos!$A$1:$H$256,7,FALSE)</f>
        <v>#N/A</v>
      </c>
      <c r="G174" s="12" t="e">
        <f>VLOOKUP(D174,Datos!$A$1:$H$256,8,FALSE)</f>
        <v>#N/A</v>
      </c>
      <c r="H174" s="4" t="s">
        <v>39</v>
      </c>
      <c r="I174" s="4" t="s">
        <v>34</v>
      </c>
      <c r="J174" s="12" t="s">
        <v>42</v>
      </c>
      <c r="K174" s="4" t="s">
        <v>90</v>
      </c>
      <c r="L174" s="4">
        <v>7</v>
      </c>
      <c r="M174" s="11">
        <f t="shared" si="21"/>
        <v>0.28000000000000003</v>
      </c>
      <c r="N174" s="4">
        <v>7</v>
      </c>
      <c r="O174" s="11">
        <f t="shared" si="22"/>
        <v>0.7</v>
      </c>
      <c r="P174" s="4">
        <v>9</v>
      </c>
      <c r="Q174" s="11">
        <f t="shared" si="23"/>
        <v>0.25714285714285712</v>
      </c>
      <c r="R174" s="4">
        <v>6</v>
      </c>
      <c r="S174" s="11">
        <f t="shared" si="24"/>
        <v>0.2</v>
      </c>
      <c r="T174" s="4">
        <f t="shared" si="25"/>
        <v>29</v>
      </c>
      <c r="U174" s="11">
        <f t="shared" si="26"/>
        <v>0.28999999999999998</v>
      </c>
      <c r="V174" s="13" t="str">
        <f t="shared" si="27"/>
        <v>INGRESÓ</v>
      </c>
      <c r="W174" s="13" t="s">
        <v>88</v>
      </c>
      <c r="X174" s="14">
        <v>45745</v>
      </c>
      <c r="Y174" s="13" t="s">
        <v>96</v>
      </c>
      <c r="Z174" s="13" t="e">
        <f>VLOOKUP(D174,Datos!$A$1:$C$256,3,FALSE)</f>
        <v>#N/A</v>
      </c>
    </row>
    <row r="175" spans="1:26" hidden="1" x14ac:dyDescent="0.25">
      <c r="A175" s="4">
        <v>106</v>
      </c>
      <c r="B175" s="12" t="e">
        <f>VLOOKUP(D175,Datos!$A$1:$H$256,4,FALSE)</f>
        <v>#N/A</v>
      </c>
      <c r="C175" s="12" t="e">
        <f>VLOOKUP(D175,Datos!$A$1:$H$256,5,FALSE)</f>
        <v>#N/A</v>
      </c>
      <c r="D175" s="4">
        <v>73194167</v>
      </c>
      <c r="E175" s="12" t="e">
        <f>VLOOKUP(D175,Datos!$A$1:$H$256,6,FALSE)</f>
        <v>#N/A</v>
      </c>
      <c r="F175" s="12" t="e">
        <f>VLOOKUP(D175,Datos!$A$1:$H$256,7,FALSE)</f>
        <v>#N/A</v>
      </c>
      <c r="G175" s="12" t="e">
        <f>VLOOKUP(D175,Datos!$A$1:$H$256,8,FALSE)</f>
        <v>#N/A</v>
      </c>
      <c r="H175" s="4" t="s">
        <v>39</v>
      </c>
      <c r="I175" s="4" t="s">
        <v>102</v>
      </c>
      <c r="J175" s="12" t="s">
        <v>42</v>
      </c>
      <c r="K175" s="4" t="s">
        <v>90</v>
      </c>
      <c r="L175" s="4">
        <v>6</v>
      </c>
      <c r="M175" s="11">
        <f t="shared" si="21"/>
        <v>0.24</v>
      </c>
      <c r="N175" s="4">
        <v>9</v>
      </c>
      <c r="O175" s="11">
        <f t="shared" si="22"/>
        <v>0.9</v>
      </c>
      <c r="P175" s="4">
        <v>9</v>
      </c>
      <c r="Q175" s="11">
        <f t="shared" si="23"/>
        <v>0.25714285714285712</v>
      </c>
      <c r="R175" s="4">
        <v>6</v>
      </c>
      <c r="S175" s="11">
        <f t="shared" si="24"/>
        <v>0.2</v>
      </c>
      <c r="T175" s="4">
        <f t="shared" si="25"/>
        <v>30</v>
      </c>
      <c r="U175" s="11">
        <f t="shared" si="26"/>
        <v>0.3</v>
      </c>
      <c r="V175" s="13" t="str">
        <f t="shared" si="27"/>
        <v>INGRESÓ</v>
      </c>
      <c r="W175" s="13" t="s">
        <v>88</v>
      </c>
      <c r="X175" s="14">
        <v>45745</v>
      </c>
      <c r="Y175" s="13" t="s">
        <v>96</v>
      </c>
      <c r="Z175" s="13" t="e">
        <f>VLOOKUP(D175,Datos!$A$1:$C$256,3,FALSE)</f>
        <v>#N/A</v>
      </c>
    </row>
    <row r="176" spans="1:26" hidden="1" x14ac:dyDescent="0.25">
      <c r="A176" s="4">
        <v>107</v>
      </c>
      <c r="B176" s="12" t="e">
        <f>VLOOKUP(D176,Datos!$A$1:$H$256,4,FALSE)</f>
        <v>#N/A</v>
      </c>
      <c r="C176" s="12" t="e">
        <f>VLOOKUP(D176,Datos!$A$1:$H$256,5,FALSE)</f>
        <v>#N/A</v>
      </c>
      <c r="D176" s="4">
        <v>44673905</v>
      </c>
      <c r="E176" s="12" t="e">
        <f>VLOOKUP(D176,Datos!$A$1:$H$256,6,FALSE)</f>
        <v>#N/A</v>
      </c>
      <c r="F176" s="12" t="e">
        <f>VLOOKUP(D176,Datos!$A$1:$H$256,7,FALSE)</f>
        <v>#N/A</v>
      </c>
      <c r="G176" s="12" t="e">
        <f>VLOOKUP(D176,Datos!$A$1:$H$256,8,FALSE)</f>
        <v>#N/A</v>
      </c>
      <c r="H176" s="4" t="s">
        <v>39</v>
      </c>
      <c r="I176" s="4" t="s">
        <v>99</v>
      </c>
      <c r="J176" s="12" t="s">
        <v>42</v>
      </c>
      <c r="K176" s="4" t="s">
        <v>90</v>
      </c>
      <c r="L176" s="4">
        <v>19</v>
      </c>
      <c r="M176" s="11">
        <f t="shared" si="21"/>
        <v>0.76</v>
      </c>
      <c r="N176" s="4">
        <v>8</v>
      </c>
      <c r="O176" s="11">
        <f t="shared" si="22"/>
        <v>0.8</v>
      </c>
      <c r="P176" s="4">
        <v>20</v>
      </c>
      <c r="Q176" s="11">
        <f t="shared" si="23"/>
        <v>0.5714285714285714</v>
      </c>
      <c r="R176" s="4">
        <v>10</v>
      </c>
      <c r="S176" s="11">
        <f t="shared" si="24"/>
        <v>0.33333333333333331</v>
      </c>
      <c r="T176" s="4">
        <f t="shared" si="25"/>
        <v>57</v>
      </c>
      <c r="U176" s="11">
        <f t="shared" si="26"/>
        <v>0.56999999999999995</v>
      </c>
      <c r="V176" s="13" t="str">
        <f t="shared" si="27"/>
        <v>INGRESÓ</v>
      </c>
      <c r="W176" s="13" t="s">
        <v>88</v>
      </c>
      <c r="X176" s="14">
        <v>45745</v>
      </c>
      <c r="Y176" s="13" t="s">
        <v>96</v>
      </c>
      <c r="Z176" s="13" t="e">
        <f>VLOOKUP(D176,Datos!$A$1:$C$256,3,FALSE)</f>
        <v>#N/A</v>
      </c>
    </row>
    <row r="177" spans="1:26" hidden="1" x14ac:dyDescent="0.25">
      <c r="A177" s="4">
        <v>108</v>
      </c>
      <c r="B177" s="12" t="e">
        <f>VLOOKUP(D177,Datos!$A$1:$H$256,4,FALSE)</f>
        <v>#N/A</v>
      </c>
      <c r="C177" s="12" t="e">
        <f>VLOOKUP(D177,Datos!$A$1:$H$256,5,FALSE)</f>
        <v>#N/A</v>
      </c>
      <c r="D177" s="4">
        <v>46410964</v>
      </c>
      <c r="E177" s="12" t="e">
        <f>VLOOKUP(D177,Datos!$A$1:$H$256,6,FALSE)</f>
        <v>#N/A</v>
      </c>
      <c r="F177" s="12" t="e">
        <f>VLOOKUP(D177,Datos!$A$1:$H$256,7,FALSE)</f>
        <v>#N/A</v>
      </c>
      <c r="G177" s="12" t="e">
        <f>VLOOKUP(D177,Datos!$A$1:$H$256,8,FALSE)</f>
        <v>#N/A</v>
      </c>
      <c r="H177" s="4" t="s">
        <v>39</v>
      </c>
      <c r="I177" s="4" t="s">
        <v>99</v>
      </c>
      <c r="J177" s="12" t="s">
        <v>42</v>
      </c>
      <c r="K177" s="4" t="s">
        <v>90</v>
      </c>
      <c r="L177" s="4">
        <v>10</v>
      </c>
      <c r="M177" s="11">
        <f t="shared" si="21"/>
        <v>0.4</v>
      </c>
      <c r="N177" s="4">
        <v>8</v>
      </c>
      <c r="O177" s="11">
        <f t="shared" si="22"/>
        <v>0.8</v>
      </c>
      <c r="P177" s="4">
        <v>9</v>
      </c>
      <c r="Q177" s="11">
        <f t="shared" si="23"/>
        <v>0.25714285714285712</v>
      </c>
      <c r="R177" s="4">
        <v>13</v>
      </c>
      <c r="S177" s="11">
        <f t="shared" si="24"/>
        <v>0.43333333333333335</v>
      </c>
      <c r="T177" s="4">
        <f t="shared" si="25"/>
        <v>40</v>
      </c>
      <c r="U177" s="11">
        <f t="shared" si="26"/>
        <v>0.4</v>
      </c>
      <c r="V177" s="13" t="str">
        <f t="shared" si="27"/>
        <v>INGRESÓ</v>
      </c>
      <c r="W177" s="13" t="s">
        <v>88</v>
      </c>
      <c r="X177" s="14">
        <v>45745</v>
      </c>
      <c r="Y177" s="13" t="s">
        <v>96</v>
      </c>
      <c r="Z177" s="13" t="e">
        <f>VLOOKUP(D177,Datos!$A$1:$C$256,3,FALSE)</f>
        <v>#N/A</v>
      </c>
    </row>
    <row r="178" spans="1:26" hidden="1" x14ac:dyDescent="0.25">
      <c r="A178" s="4">
        <v>109</v>
      </c>
      <c r="B178" s="12" t="e">
        <f>VLOOKUP(D178,Datos!$A$1:$H$256,4,FALSE)</f>
        <v>#N/A</v>
      </c>
      <c r="C178" s="12" t="e">
        <f>VLOOKUP(D178,Datos!$A$1:$H$256,5,FALSE)</f>
        <v>#N/A</v>
      </c>
      <c r="D178" s="4">
        <v>48749588</v>
      </c>
      <c r="E178" s="12" t="e">
        <f>VLOOKUP(D178,Datos!$A$1:$H$256,6,FALSE)</f>
        <v>#N/A</v>
      </c>
      <c r="F178" s="12" t="e">
        <f>VLOOKUP(D178,Datos!$A$1:$H$256,7,FALSE)</f>
        <v>#N/A</v>
      </c>
      <c r="G178" s="12" t="e">
        <f>VLOOKUP(D178,Datos!$A$1:$H$256,8,FALSE)</f>
        <v>#N/A</v>
      </c>
      <c r="H178" s="4" t="s">
        <v>39</v>
      </c>
      <c r="I178" s="4" t="s">
        <v>99</v>
      </c>
      <c r="J178" s="12" t="s">
        <v>42</v>
      </c>
      <c r="K178" s="4" t="s">
        <v>90</v>
      </c>
      <c r="L178" s="4">
        <v>6</v>
      </c>
      <c r="M178" s="11">
        <f t="shared" si="21"/>
        <v>0.24</v>
      </c>
      <c r="N178" s="4">
        <v>8</v>
      </c>
      <c r="O178" s="11">
        <f t="shared" si="22"/>
        <v>0.8</v>
      </c>
      <c r="P178" s="4">
        <v>10</v>
      </c>
      <c r="Q178" s="11">
        <f t="shared" si="23"/>
        <v>0.2857142857142857</v>
      </c>
      <c r="R178" s="4">
        <v>5</v>
      </c>
      <c r="S178" s="11">
        <f t="shared" si="24"/>
        <v>0.16666666666666666</v>
      </c>
      <c r="T178" s="4">
        <f t="shared" si="25"/>
        <v>29</v>
      </c>
      <c r="U178" s="11">
        <f t="shared" si="26"/>
        <v>0.28999999999999998</v>
      </c>
      <c r="V178" s="13" t="str">
        <f t="shared" si="27"/>
        <v>INGRESÓ</v>
      </c>
      <c r="W178" s="13" t="s">
        <v>88</v>
      </c>
      <c r="X178" s="14">
        <v>45745</v>
      </c>
      <c r="Y178" s="13" t="s">
        <v>96</v>
      </c>
      <c r="Z178" s="13" t="e">
        <f>VLOOKUP(D178,Datos!$A$1:$C$256,3,FALSE)</f>
        <v>#N/A</v>
      </c>
    </row>
    <row r="179" spans="1:26" hidden="1" x14ac:dyDescent="0.25">
      <c r="A179" s="4">
        <v>110</v>
      </c>
      <c r="B179" s="12" t="e">
        <f>VLOOKUP(D179,Datos!$A$1:$H$256,4,FALSE)</f>
        <v>#N/A</v>
      </c>
      <c r="C179" s="12" t="e">
        <f>VLOOKUP(D179,Datos!$A$1:$H$256,5,FALSE)</f>
        <v>#N/A</v>
      </c>
      <c r="D179" s="4">
        <v>44008207</v>
      </c>
      <c r="E179" s="12" t="e">
        <f>VLOOKUP(D179,Datos!$A$1:$H$256,6,FALSE)</f>
        <v>#N/A</v>
      </c>
      <c r="F179" s="12" t="e">
        <f>VLOOKUP(D179,Datos!$A$1:$H$256,7,FALSE)</f>
        <v>#N/A</v>
      </c>
      <c r="G179" s="12" t="e">
        <f>VLOOKUP(D179,Datos!$A$1:$H$256,8,FALSE)</f>
        <v>#N/A</v>
      </c>
      <c r="H179" s="4" t="s">
        <v>39</v>
      </c>
      <c r="I179" s="4" t="s">
        <v>99</v>
      </c>
      <c r="J179" s="12" t="s">
        <v>42</v>
      </c>
      <c r="K179" s="4" t="s">
        <v>90</v>
      </c>
      <c r="L179" s="4">
        <v>9</v>
      </c>
      <c r="M179" s="11">
        <f t="shared" si="21"/>
        <v>0.36</v>
      </c>
      <c r="N179" s="4">
        <v>9</v>
      </c>
      <c r="O179" s="11">
        <f t="shared" si="22"/>
        <v>0.9</v>
      </c>
      <c r="P179" s="4">
        <v>13</v>
      </c>
      <c r="Q179" s="11">
        <f t="shared" si="23"/>
        <v>0.37142857142857144</v>
      </c>
      <c r="R179" s="4">
        <v>6</v>
      </c>
      <c r="S179" s="11">
        <f t="shared" si="24"/>
        <v>0.2</v>
      </c>
      <c r="T179" s="4">
        <f t="shared" si="25"/>
        <v>37</v>
      </c>
      <c r="U179" s="11">
        <f t="shared" si="26"/>
        <v>0.37</v>
      </c>
      <c r="V179" s="13" t="str">
        <f t="shared" si="27"/>
        <v>INGRESÓ</v>
      </c>
      <c r="W179" s="13" t="s">
        <v>88</v>
      </c>
      <c r="X179" s="14">
        <v>45745</v>
      </c>
      <c r="Y179" s="13" t="s">
        <v>96</v>
      </c>
      <c r="Z179" s="13" t="e">
        <f>VLOOKUP(D179,Datos!$A$1:$C$256,3,FALSE)</f>
        <v>#N/A</v>
      </c>
    </row>
    <row r="180" spans="1:26" hidden="1" x14ac:dyDescent="0.25">
      <c r="A180" s="4">
        <v>111</v>
      </c>
      <c r="B180" s="12" t="e">
        <f>VLOOKUP(D180,Datos!$A$1:$H$256,4,FALSE)</f>
        <v>#N/A</v>
      </c>
      <c r="C180" s="12" t="e">
        <f>VLOOKUP(D180,Datos!$A$1:$H$256,5,FALSE)</f>
        <v>#N/A</v>
      </c>
      <c r="D180" s="4">
        <v>44872528</v>
      </c>
      <c r="E180" s="12" t="e">
        <f>VLOOKUP(D180,Datos!$A$1:$H$256,6,FALSE)</f>
        <v>#N/A</v>
      </c>
      <c r="F180" s="12" t="e">
        <f>VLOOKUP(D180,Datos!$A$1:$H$256,7,FALSE)</f>
        <v>#N/A</v>
      </c>
      <c r="G180" s="12" t="e">
        <f>VLOOKUP(D180,Datos!$A$1:$H$256,8,FALSE)</f>
        <v>#N/A</v>
      </c>
      <c r="H180" s="4" t="s">
        <v>39</v>
      </c>
      <c r="I180" s="4" t="s">
        <v>99</v>
      </c>
      <c r="J180" s="12" t="s">
        <v>42</v>
      </c>
      <c r="K180" s="4" t="s">
        <v>90</v>
      </c>
      <c r="L180" s="4">
        <v>16</v>
      </c>
      <c r="M180" s="11">
        <f t="shared" si="21"/>
        <v>0.64</v>
      </c>
      <c r="N180" s="4">
        <v>8</v>
      </c>
      <c r="O180" s="11">
        <f t="shared" si="22"/>
        <v>0.8</v>
      </c>
      <c r="P180" s="4">
        <v>8</v>
      </c>
      <c r="Q180" s="11">
        <f t="shared" si="23"/>
        <v>0.22857142857142856</v>
      </c>
      <c r="R180" s="4">
        <v>8</v>
      </c>
      <c r="S180" s="11">
        <f t="shared" si="24"/>
        <v>0.26666666666666666</v>
      </c>
      <c r="T180" s="4">
        <f t="shared" si="25"/>
        <v>40</v>
      </c>
      <c r="U180" s="11">
        <f t="shared" si="26"/>
        <v>0.4</v>
      </c>
      <c r="V180" s="13" t="str">
        <f t="shared" si="27"/>
        <v>INGRESÓ</v>
      </c>
      <c r="W180" s="13" t="s">
        <v>88</v>
      </c>
      <c r="X180" s="14">
        <v>45745</v>
      </c>
      <c r="Y180" s="13" t="s">
        <v>96</v>
      </c>
      <c r="Z180" s="13" t="e">
        <f>VLOOKUP(D180,Datos!$A$1:$C$256,3,FALSE)</f>
        <v>#N/A</v>
      </c>
    </row>
    <row r="181" spans="1:26" hidden="1" x14ac:dyDescent="0.25">
      <c r="A181" s="4">
        <v>112</v>
      </c>
      <c r="B181" s="12" t="e">
        <f>VLOOKUP(D181,Datos!$A$1:$H$256,4,FALSE)</f>
        <v>#N/A</v>
      </c>
      <c r="C181" s="12" t="e">
        <f>VLOOKUP(D181,Datos!$A$1:$H$256,5,FALSE)</f>
        <v>#N/A</v>
      </c>
      <c r="D181" s="4">
        <v>1872173</v>
      </c>
      <c r="E181" s="12" t="e">
        <f>VLOOKUP(D181,Datos!$A$1:$H$256,6,FALSE)</f>
        <v>#N/A</v>
      </c>
      <c r="F181" s="12" t="e">
        <f>VLOOKUP(D181,Datos!$A$1:$H$256,7,FALSE)</f>
        <v>#N/A</v>
      </c>
      <c r="G181" s="12" t="e">
        <f>VLOOKUP(D181,Datos!$A$1:$H$256,8,FALSE)</f>
        <v>#N/A</v>
      </c>
      <c r="H181" s="4" t="s">
        <v>39</v>
      </c>
      <c r="I181" s="4" t="s">
        <v>99</v>
      </c>
      <c r="J181" s="12" t="s">
        <v>42</v>
      </c>
      <c r="K181" s="4" t="s">
        <v>90</v>
      </c>
      <c r="L181" s="4">
        <v>3</v>
      </c>
      <c r="M181" s="11">
        <f t="shared" si="21"/>
        <v>0.12</v>
      </c>
      <c r="N181" s="4">
        <v>2</v>
      </c>
      <c r="O181" s="11">
        <f t="shared" si="22"/>
        <v>0.2</v>
      </c>
      <c r="P181" s="4">
        <v>7</v>
      </c>
      <c r="Q181" s="11">
        <f t="shared" si="23"/>
        <v>0.2</v>
      </c>
      <c r="R181" s="4">
        <v>6</v>
      </c>
      <c r="S181" s="11">
        <f t="shared" si="24"/>
        <v>0.2</v>
      </c>
      <c r="T181" s="4">
        <f t="shared" si="25"/>
        <v>18</v>
      </c>
      <c r="U181" s="11">
        <f t="shared" si="26"/>
        <v>0.18</v>
      </c>
      <c r="V181" s="13" t="str">
        <f t="shared" si="27"/>
        <v>INGRESÓ</v>
      </c>
      <c r="W181" s="13" t="s">
        <v>88</v>
      </c>
      <c r="X181" s="14">
        <v>45745</v>
      </c>
      <c r="Y181" s="13" t="s">
        <v>96</v>
      </c>
      <c r="Z181" s="13" t="e">
        <f>VLOOKUP(D181,Datos!$A$1:$C$256,3,FALSE)</f>
        <v>#N/A</v>
      </c>
    </row>
    <row r="182" spans="1:26" hidden="1" x14ac:dyDescent="0.25">
      <c r="A182" s="4">
        <v>113</v>
      </c>
      <c r="B182" s="12" t="e">
        <f>VLOOKUP(D182,Datos!$A$1:$H$256,4,FALSE)</f>
        <v>#N/A</v>
      </c>
      <c r="C182" s="12" t="e">
        <f>VLOOKUP(D182,Datos!$A$1:$H$256,5,FALSE)</f>
        <v>#N/A</v>
      </c>
      <c r="D182" s="4">
        <v>79333906</v>
      </c>
      <c r="E182" s="12" t="e">
        <f>VLOOKUP(D182,Datos!$A$1:$H$256,6,FALSE)</f>
        <v>#N/A</v>
      </c>
      <c r="F182" s="12" t="e">
        <f>VLOOKUP(D182,Datos!$A$1:$H$256,7,FALSE)</f>
        <v>#N/A</v>
      </c>
      <c r="G182" s="12" t="e">
        <f>VLOOKUP(D182,Datos!$A$1:$H$256,8,FALSE)</f>
        <v>#N/A</v>
      </c>
      <c r="H182" s="4" t="s">
        <v>39</v>
      </c>
      <c r="I182" s="4" t="s">
        <v>99</v>
      </c>
      <c r="J182" s="12" t="s">
        <v>42</v>
      </c>
      <c r="K182" s="4" t="s">
        <v>90</v>
      </c>
      <c r="L182" s="4">
        <v>4</v>
      </c>
      <c r="M182" s="11">
        <f t="shared" si="21"/>
        <v>0.16</v>
      </c>
      <c r="N182" s="4">
        <v>3</v>
      </c>
      <c r="O182" s="11">
        <f t="shared" si="22"/>
        <v>0.3</v>
      </c>
      <c r="P182" s="4">
        <v>9</v>
      </c>
      <c r="Q182" s="11">
        <f t="shared" si="23"/>
        <v>0.25714285714285712</v>
      </c>
      <c r="R182" s="4">
        <v>9</v>
      </c>
      <c r="S182" s="11">
        <f t="shared" si="24"/>
        <v>0.3</v>
      </c>
      <c r="T182" s="4">
        <f t="shared" si="25"/>
        <v>25</v>
      </c>
      <c r="U182" s="11">
        <f t="shared" si="26"/>
        <v>0.25</v>
      </c>
      <c r="V182" s="13" t="str">
        <f t="shared" si="27"/>
        <v>INGRESÓ</v>
      </c>
      <c r="W182" s="13" t="s">
        <v>88</v>
      </c>
      <c r="X182" s="14">
        <v>45745</v>
      </c>
      <c r="Y182" s="13" t="s">
        <v>96</v>
      </c>
      <c r="Z182" s="13" t="e">
        <f>VLOOKUP(D182,Datos!$A$1:$C$256,3,FALSE)</f>
        <v>#N/A</v>
      </c>
    </row>
    <row r="183" spans="1:26" x14ac:dyDescent="0.25">
      <c r="A183" s="4">
        <v>114</v>
      </c>
      <c r="B183" s="12" t="e">
        <f>VLOOKUP(D183,Datos!$A$1:$H$256,4,FALSE)</f>
        <v>#N/A</v>
      </c>
      <c r="C183" s="12" t="e">
        <f>VLOOKUP(D183,Datos!$A$1:$H$256,5,FALSE)</f>
        <v>#N/A</v>
      </c>
      <c r="D183" s="4">
        <v>60604248</v>
      </c>
      <c r="E183" s="12" t="e">
        <f>VLOOKUP(D183,Datos!$A$1:$H$256,6,FALSE)</f>
        <v>#N/A</v>
      </c>
      <c r="F183" s="12" t="e">
        <f>VLOOKUP(D183,Datos!$A$1:$H$256,7,FALSE)</f>
        <v>#N/A</v>
      </c>
      <c r="G183" s="12" t="e">
        <f>VLOOKUP(D183,Datos!$A$1:$H$256,8,FALSE)</f>
        <v>#N/A</v>
      </c>
      <c r="H183" s="4" t="s">
        <v>39</v>
      </c>
      <c r="I183" s="4" t="s">
        <v>30</v>
      </c>
      <c r="J183" s="12" t="s">
        <v>42</v>
      </c>
      <c r="K183" s="4" t="s">
        <v>90</v>
      </c>
      <c r="L183" s="4">
        <v>10</v>
      </c>
      <c r="M183" s="11">
        <f t="shared" si="21"/>
        <v>0.4</v>
      </c>
      <c r="N183" s="4">
        <v>8</v>
      </c>
      <c r="O183" s="11">
        <f t="shared" si="22"/>
        <v>0.8</v>
      </c>
      <c r="P183" s="4">
        <v>11</v>
      </c>
      <c r="Q183" s="11">
        <f t="shared" si="23"/>
        <v>0.31428571428571428</v>
      </c>
      <c r="R183" s="4">
        <v>4</v>
      </c>
      <c r="S183" s="11">
        <f t="shared" si="24"/>
        <v>0.13333333333333333</v>
      </c>
      <c r="T183" s="4">
        <f t="shared" si="25"/>
        <v>33</v>
      </c>
      <c r="U183" s="11">
        <f t="shared" si="26"/>
        <v>0.33</v>
      </c>
      <c r="V183" s="13" t="str">
        <f t="shared" si="27"/>
        <v>INGRESÓ</v>
      </c>
      <c r="W183" s="13" t="s">
        <v>88</v>
      </c>
      <c r="X183" s="14">
        <v>45745</v>
      </c>
      <c r="Y183" s="13" t="s">
        <v>96</v>
      </c>
      <c r="Z183" s="13" t="e">
        <f>VLOOKUP(D183,Datos!$A$1:$C$256,3,FALSE)</f>
        <v>#N/A</v>
      </c>
    </row>
    <row r="184" spans="1:26" hidden="1" x14ac:dyDescent="0.25">
      <c r="A184" s="4">
        <v>115</v>
      </c>
      <c r="B184" s="12" t="e">
        <f>VLOOKUP(D184,Datos!$A$1:$H$256,4,FALSE)</f>
        <v>#N/A</v>
      </c>
      <c r="C184" s="12" t="e">
        <f>VLOOKUP(D184,Datos!$A$1:$H$256,5,FALSE)</f>
        <v>#N/A</v>
      </c>
      <c r="D184" s="4">
        <v>43379467</v>
      </c>
      <c r="E184" s="12" t="e">
        <f>VLOOKUP(D184,Datos!$A$1:$H$256,6,FALSE)</f>
        <v>#N/A</v>
      </c>
      <c r="F184" s="12" t="e">
        <f>VLOOKUP(D184,Datos!$A$1:$H$256,7,FALSE)</f>
        <v>#N/A</v>
      </c>
      <c r="G184" s="12" t="e">
        <f>VLOOKUP(D184,Datos!$A$1:$H$256,8,FALSE)</f>
        <v>#N/A</v>
      </c>
      <c r="H184" s="4" t="s">
        <v>39</v>
      </c>
      <c r="I184" s="4" t="s">
        <v>99</v>
      </c>
      <c r="J184" s="12" t="s">
        <v>42</v>
      </c>
      <c r="K184" s="4" t="s">
        <v>90</v>
      </c>
      <c r="L184" s="4">
        <v>17</v>
      </c>
      <c r="M184" s="11">
        <f t="shared" si="21"/>
        <v>0.68</v>
      </c>
      <c r="N184" s="4">
        <v>8</v>
      </c>
      <c r="O184" s="11">
        <f t="shared" si="22"/>
        <v>0.8</v>
      </c>
      <c r="P184" s="4">
        <v>29</v>
      </c>
      <c r="Q184" s="11">
        <f t="shared" si="23"/>
        <v>0.82857142857142863</v>
      </c>
      <c r="R184" s="4">
        <v>24</v>
      </c>
      <c r="S184" s="11">
        <f t="shared" si="24"/>
        <v>0.8</v>
      </c>
      <c r="T184" s="4">
        <f t="shared" si="25"/>
        <v>78</v>
      </c>
      <c r="U184" s="11">
        <f t="shared" si="26"/>
        <v>0.78</v>
      </c>
      <c r="V184" s="13" t="str">
        <f t="shared" si="27"/>
        <v>INGRESÓ</v>
      </c>
      <c r="W184" s="13" t="s">
        <v>88</v>
      </c>
      <c r="X184" s="14">
        <v>45745</v>
      </c>
      <c r="Y184" s="13" t="s">
        <v>96</v>
      </c>
      <c r="Z184" s="13" t="e">
        <f>VLOOKUP(D184,Datos!$A$1:$C$256,3,FALSE)</f>
        <v>#N/A</v>
      </c>
    </row>
    <row r="185" spans="1:26" hidden="1" x14ac:dyDescent="0.25">
      <c r="A185" s="4">
        <v>116</v>
      </c>
      <c r="B185" s="12" t="e">
        <f>VLOOKUP(D185,Datos!$A$1:$H$256,4,FALSE)</f>
        <v>#N/A</v>
      </c>
      <c r="C185" s="12" t="e">
        <f>VLOOKUP(D185,Datos!$A$1:$H$256,5,FALSE)</f>
        <v>#N/A</v>
      </c>
      <c r="D185" s="4">
        <v>61060212</v>
      </c>
      <c r="E185" s="12" t="e">
        <f>VLOOKUP(D185,Datos!$A$1:$H$256,6,FALSE)</f>
        <v>#N/A</v>
      </c>
      <c r="F185" s="12" t="e">
        <f>VLOOKUP(D185,Datos!$A$1:$H$256,7,FALSE)</f>
        <v>#N/A</v>
      </c>
      <c r="G185" s="12" t="e">
        <f>VLOOKUP(D185,Datos!$A$1:$H$256,8,FALSE)</f>
        <v>#N/A</v>
      </c>
      <c r="H185" s="4" t="s">
        <v>39</v>
      </c>
      <c r="I185" s="4" t="s">
        <v>100</v>
      </c>
      <c r="J185" s="12" t="s">
        <v>42</v>
      </c>
      <c r="K185" s="4" t="s">
        <v>90</v>
      </c>
      <c r="L185" s="4">
        <v>14</v>
      </c>
      <c r="M185" s="11">
        <f t="shared" si="21"/>
        <v>0.56000000000000005</v>
      </c>
      <c r="N185" s="4">
        <v>8</v>
      </c>
      <c r="O185" s="11">
        <f t="shared" si="22"/>
        <v>0.8</v>
      </c>
      <c r="P185" s="4">
        <v>14</v>
      </c>
      <c r="Q185" s="11">
        <f t="shared" si="23"/>
        <v>0.4</v>
      </c>
      <c r="R185" s="4">
        <v>9</v>
      </c>
      <c r="S185" s="11">
        <f t="shared" si="24"/>
        <v>0.3</v>
      </c>
      <c r="T185" s="4">
        <f t="shared" si="25"/>
        <v>45</v>
      </c>
      <c r="U185" s="11">
        <f t="shared" si="26"/>
        <v>0.45</v>
      </c>
      <c r="V185" s="13" t="str">
        <f t="shared" si="27"/>
        <v>INGRESÓ</v>
      </c>
      <c r="W185" s="13" t="s">
        <v>88</v>
      </c>
      <c r="X185" s="14">
        <v>45745</v>
      </c>
      <c r="Y185" s="13" t="s">
        <v>96</v>
      </c>
      <c r="Z185" s="13" t="e">
        <f>VLOOKUP(D185,Datos!$A$1:$C$256,3,FALSE)</f>
        <v>#N/A</v>
      </c>
    </row>
    <row r="186" spans="1:26" x14ac:dyDescent="0.25">
      <c r="A186" s="4">
        <v>117</v>
      </c>
      <c r="B186" s="12" t="e">
        <f>VLOOKUP(D186,Datos!$A$1:$H$256,4,FALSE)</f>
        <v>#N/A</v>
      </c>
      <c r="C186" s="12" t="e">
        <f>VLOOKUP(D186,Datos!$A$1:$H$256,5,FALSE)</f>
        <v>#N/A</v>
      </c>
      <c r="D186" s="4">
        <v>72541816</v>
      </c>
      <c r="E186" s="12" t="e">
        <f>VLOOKUP(D186,Datos!$A$1:$H$256,6,FALSE)</f>
        <v>#N/A</v>
      </c>
      <c r="F186" s="12" t="e">
        <f>VLOOKUP(D186,Datos!$A$1:$H$256,7,FALSE)</f>
        <v>#N/A</v>
      </c>
      <c r="G186" s="12" t="e">
        <f>VLOOKUP(D186,Datos!$A$1:$H$256,8,FALSE)</f>
        <v>#N/A</v>
      </c>
      <c r="H186" s="4" t="s">
        <v>39</v>
      </c>
      <c r="I186" s="4" t="s">
        <v>30</v>
      </c>
      <c r="J186" s="12" t="s">
        <v>42</v>
      </c>
      <c r="K186" s="4" t="s">
        <v>90</v>
      </c>
      <c r="L186" s="4">
        <v>12</v>
      </c>
      <c r="M186" s="11">
        <f t="shared" si="21"/>
        <v>0.48</v>
      </c>
      <c r="N186" s="4">
        <v>9</v>
      </c>
      <c r="O186" s="11">
        <f t="shared" si="22"/>
        <v>0.9</v>
      </c>
      <c r="P186" s="4">
        <v>19</v>
      </c>
      <c r="Q186" s="11">
        <f t="shared" si="23"/>
        <v>0.54285714285714282</v>
      </c>
      <c r="R186" s="4">
        <v>13</v>
      </c>
      <c r="S186" s="11">
        <f t="shared" si="24"/>
        <v>0.43333333333333335</v>
      </c>
      <c r="T186" s="4">
        <f t="shared" si="25"/>
        <v>53</v>
      </c>
      <c r="U186" s="11">
        <f t="shared" si="26"/>
        <v>0.53</v>
      </c>
      <c r="V186" s="13" t="str">
        <f t="shared" si="27"/>
        <v>INGRESÓ</v>
      </c>
      <c r="W186" s="13" t="s">
        <v>88</v>
      </c>
      <c r="X186" s="14">
        <v>45745</v>
      </c>
      <c r="Y186" s="13" t="s">
        <v>96</v>
      </c>
      <c r="Z186" s="13" t="e">
        <f>VLOOKUP(D186,Datos!$A$1:$C$256,3,FALSE)</f>
        <v>#N/A</v>
      </c>
    </row>
    <row r="187" spans="1:26" hidden="1" x14ac:dyDescent="0.25">
      <c r="A187" s="4">
        <v>118</v>
      </c>
      <c r="B187" s="12" t="e">
        <f>VLOOKUP(D187,Datos!$A$1:$H$256,4,FALSE)</f>
        <v>#N/A</v>
      </c>
      <c r="C187" s="12" t="e">
        <f>VLOOKUP(D187,Datos!$A$1:$H$256,5,FALSE)</f>
        <v>#N/A</v>
      </c>
      <c r="D187" s="4">
        <v>61060353</v>
      </c>
      <c r="E187" s="12" t="e">
        <f>VLOOKUP(D187,Datos!$A$1:$H$256,6,FALSE)</f>
        <v>#N/A</v>
      </c>
      <c r="F187" s="12" t="e">
        <f>VLOOKUP(D187,Datos!$A$1:$H$256,7,FALSE)</f>
        <v>#N/A</v>
      </c>
      <c r="G187" s="12" t="e">
        <f>VLOOKUP(D187,Datos!$A$1:$H$256,8,FALSE)</f>
        <v>#N/A</v>
      </c>
      <c r="H187" s="4" t="s">
        <v>39</v>
      </c>
      <c r="I187" s="4" t="s">
        <v>34</v>
      </c>
      <c r="J187" s="12" t="s">
        <v>42</v>
      </c>
      <c r="K187" s="4" t="s">
        <v>90</v>
      </c>
      <c r="L187" s="4">
        <v>12</v>
      </c>
      <c r="M187" s="11">
        <f t="shared" si="21"/>
        <v>0.48</v>
      </c>
      <c r="N187" s="4">
        <v>8</v>
      </c>
      <c r="O187" s="11">
        <f t="shared" si="22"/>
        <v>0.8</v>
      </c>
      <c r="P187" s="4">
        <v>12</v>
      </c>
      <c r="Q187" s="11">
        <f t="shared" si="23"/>
        <v>0.34285714285714286</v>
      </c>
      <c r="R187" s="4">
        <v>5</v>
      </c>
      <c r="S187" s="11">
        <f t="shared" si="24"/>
        <v>0.16666666666666666</v>
      </c>
      <c r="T187" s="4">
        <f t="shared" si="25"/>
        <v>37</v>
      </c>
      <c r="U187" s="11">
        <f t="shared" si="26"/>
        <v>0.37</v>
      </c>
      <c r="V187" s="13" t="str">
        <f t="shared" si="27"/>
        <v>INGRESÓ</v>
      </c>
      <c r="W187" s="13" t="s">
        <v>88</v>
      </c>
      <c r="X187" s="14">
        <v>45745</v>
      </c>
      <c r="Y187" s="13" t="s">
        <v>96</v>
      </c>
      <c r="Z187" s="13" t="e">
        <f>VLOOKUP(D187,Datos!$A$1:$C$256,3,FALSE)</f>
        <v>#N/A</v>
      </c>
    </row>
    <row r="188" spans="1:26" hidden="1" x14ac:dyDescent="0.25">
      <c r="A188" s="4">
        <v>119</v>
      </c>
      <c r="B188" s="12" t="e">
        <f>VLOOKUP(D188,Datos!$A$1:$H$256,4,FALSE)</f>
        <v>#N/A</v>
      </c>
      <c r="C188" s="12" t="e">
        <f>VLOOKUP(D188,Datos!$A$1:$H$256,5,FALSE)</f>
        <v>#N/A</v>
      </c>
      <c r="D188" s="4">
        <v>73615499</v>
      </c>
      <c r="E188" s="12" t="e">
        <f>VLOOKUP(D188,Datos!$A$1:$H$256,6,FALSE)</f>
        <v>#N/A</v>
      </c>
      <c r="F188" s="12" t="e">
        <f>VLOOKUP(D188,Datos!$A$1:$H$256,7,FALSE)</f>
        <v>#N/A</v>
      </c>
      <c r="G188" s="12" t="e">
        <f>VLOOKUP(D188,Datos!$A$1:$H$256,8,FALSE)</f>
        <v>#N/A</v>
      </c>
      <c r="H188" s="4" t="s">
        <v>39</v>
      </c>
      <c r="I188" s="4" t="s">
        <v>27</v>
      </c>
      <c r="J188" s="12" t="s">
        <v>42</v>
      </c>
      <c r="K188" s="4" t="s">
        <v>90</v>
      </c>
      <c r="L188" s="4">
        <v>11</v>
      </c>
      <c r="M188" s="11">
        <f t="shared" si="21"/>
        <v>0.44</v>
      </c>
      <c r="N188" s="4">
        <v>6</v>
      </c>
      <c r="O188" s="11">
        <f t="shared" si="22"/>
        <v>0.6</v>
      </c>
      <c r="P188" s="4">
        <v>16</v>
      </c>
      <c r="Q188" s="11">
        <f t="shared" si="23"/>
        <v>0.45714285714285713</v>
      </c>
      <c r="R188" s="4">
        <v>10</v>
      </c>
      <c r="S188" s="11">
        <f t="shared" si="24"/>
        <v>0.33333333333333331</v>
      </c>
      <c r="T188" s="4">
        <f t="shared" si="25"/>
        <v>43</v>
      </c>
      <c r="U188" s="11">
        <f t="shared" si="26"/>
        <v>0.43</v>
      </c>
      <c r="V188" s="13" t="str">
        <f t="shared" si="27"/>
        <v>INGRESÓ</v>
      </c>
      <c r="W188" s="13" t="s">
        <v>88</v>
      </c>
      <c r="X188" s="14">
        <v>45745</v>
      </c>
      <c r="Y188" s="13" t="s">
        <v>96</v>
      </c>
      <c r="Z188" s="13" t="e">
        <f>VLOOKUP(D188,Datos!$A$1:$C$256,3,FALSE)</f>
        <v>#N/A</v>
      </c>
    </row>
    <row r="189" spans="1:26" hidden="1" x14ac:dyDescent="0.25">
      <c r="A189" s="4">
        <v>120</v>
      </c>
      <c r="B189" s="12" t="e">
        <f>VLOOKUP(D189,Datos!$A$1:$H$256,4,FALSE)</f>
        <v>#N/A</v>
      </c>
      <c r="C189" s="12" t="e">
        <f>VLOOKUP(D189,Datos!$A$1:$H$256,5,FALSE)</f>
        <v>#N/A</v>
      </c>
      <c r="D189" s="4">
        <v>61381661</v>
      </c>
      <c r="E189" s="12" t="e">
        <f>VLOOKUP(D189,Datos!$A$1:$H$256,6,FALSE)</f>
        <v>#N/A</v>
      </c>
      <c r="F189" s="12" t="e">
        <f>VLOOKUP(D189,Datos!$A$1:$H$256,7,FALSE)</f>
        <v>#N/A</v>
      </c>
      <c r="G189" s="12" t="e">
        <f>VLOOKUP(D189,Datos!$A$1:$H$256,8,FALSE)</f>
        <v>#N/A</v>
      </c>
      <c r="H189" s="4" t="s">
        <v>39</v>
      </c>
      <c r="I189" s="4" t="s">
        <v>100</v>
      </c>
      <c r="J189" s="12" t="s">
        <v>42</v>
      </c>
      <c r="K189" s="4" t="s">
        <v>90</v>
      </c>
      <c r="L189" s="4">
        <v>10</v>
      </c>
      <c r="M189" s="11">
        <f t="shared" si="21"/>
        <v>0.4</v>
      </c>
      <c r="N189" s="4">
        <v>9</v>
      </c>
      <c r="O189" s="11">
        <f t="shared" si="22"/>
        <v>0.9</v>
      </c>
      <c r="P189" s="4">
        <v>14</v>
      </c>
      <c r="Q189" s="11">
        <f t="shared" si="23"/>
        <v>0.4</v>
      </c>
      <c r="R189" s="4">
        <v>9</v>
      </c>
      <c r="S189" s="11">
        <f t="shared" si="24"/>
        <v>0.3</v>
      </c>
      <c r="T189" s="4">
        <f t="shared" si="25"/>
        <v>42</v>
      </c>
      <c r="U189" s="11">
        <f t="shared" si="26"/>
        <v>0.42</v>
      </c>
      <c r="V189" s="13" t="str">
        <f t="shared" si="27"/>
        <v>INGRESÓ</v>
      </c>
      <c r="W189" s="13" t="s">
        <v>88</v>
      </c>
      <c r="X189" s="14">
        <v>45745</v>
      </c>
      <c r="Y189" s="13" t="s">
        <v>96</v>
      </c>
      <c r="Z189" s="13" t="e">
        <f>VLOOKUP(D189,Datos!$A$1:$C$256,3,FALSE)</f>
        <v>#N/A</v>
      </c>
    </row>
    <row r="190" spans="1:26" hidden="1" x14ac:dyDescent="0.25">
      <c r="A190" s="4">
        <v>121</v>
      </c>
      <c r="B190" s="12" t="e">
        <f>VLOOKUP(D190,Datos!$A$1:$H$256,4,FALSE)</f>
        <v>#N/A</v>
      </c>
      <c r="C190" s="12" t="e">
        <f>VLOOKUP(D190,Datos!$A$1:$H$256,5,FALSE)</f>
        <v>#N/A</v>
      </c>
      <c r="D190" s="4">
        <v>75483388</v>
      </c>
      <c r="E190" s="12" t="e">
        <f>VLOOKUP(D190,Datos!$A$1:$H$256,6,FALSE)</f>
        <v>#N/A</v>
      </c>
      <c r="F190" s="12" t="e">
        <f>VLOOKUP(D190,Datos!$A$1:$H$256,7,FALSE)</f>
        <v>#N/A</v>
      </c>
      <c r="G190" s="12" t="e">
        <f>VLOOKUP(D190,Datos!$A$1:$H$256,8,FALSE)</f>
        <v>#N/A</v>
      </c>
      <c r="H190" s="4" t="s">
        <v>39</v>
      </c>
      <c r="I190" s="4" t="s">
        <v>100</v>
      </c>
      <c r="J190" s="12" t="s">
        <v>42</v>
      </c>
      <c r="K190" s="4" t="s">
        <v>90</v>
      </c>
      <c r="L190" s="4">
        <v>9</v>
      </c>
      <c r="M190" s="11">
        <f t="shared" si="21"/>
        <v>0.36</v>
      </c>
      <c r="N190" s="4">
        <v>6</v>
      </c>
      <c r="O190" s="11">
        <f t="shared" si="22"/>
        <v>0.6</v>
      </c>
      <c r="P190" s="4">
        <v>7</v>
      </c>
      <c r="Q190" s="11">
        <f t="shared" si="23"/>
        <v>0.2</v>
      </c>
      <c r="R190" s="4">
        <v>8</v>
      </c>
      <c r="S190" s="11">
        <f t="shared" si="24"/>
        <v>0.26666666666666666</v>
      </c>
      <c r="T190" s="4">
        <f t="shared" si="25"/>
        <v>30</v>
      </c>
      <c r="U190" s="11">
        <f t="shared" si="26"/>
        <v>0.3</v>
      </c>
      <c r="V190" s="13" t="str">
        <f t="shared" si="27"/>
        <v>INGRESÓ</v>
      </c>
      <c r="W190" s="13" t="s">
        <v>88</v>
      </c>
      <c r="X190" s="14">
        <v>45745</v>
      </c>
      <c r="Y190" s="13" t="s">
        <v>96</v>
      </c>
      <c r="Z190" s="13" t="e">
        <f>VLOOKUP(D190,Datos!$A$1:$C$256,3,FALSE)</f>
        <v>#N/A</v>
      </c>
    </row>
    <row r="191" spans="1:26" x14ac:dyDescent="0.25">
      <c r="A191" s="4">
        <v>122</v>
      </c>
      <c r="B191" s="12" t="e">
        <f>VLOOKUP(D191,Datos!$A$1:$H$256,4,FALSE)</f>
        <v>#N/A</v>
      </c>
      <c r="C191" s="12" t="e">
        <f>VLOOKUP(D191,Datos!$A$1:$H$256,5,FALSE)</f>
        <v>#N/A</v>
      </c>
      <c r="D191" s="4">
        <v>61247647</v>
      </c>
      <c r="E191" s="12" t="e">
        <f>VLOOKUP(D191,Datos!$A$1:$H$256,6,FALSE)</f>
        <v>#N/A</v>
      </c>
      <c r="F191" s="12" t="e">
        <f>VLOOKUP(D191,Datos!$A$1:$H$256,7,FALSE)</f>
        <v>#N/A</v>
      </c>
      <c r="G191" s="12" t="e">
        <f>VLOOKUP(D191,Datos!$A$1:$H$256,8,FALSE)</f>
        <v>#N/A</v>
      </c>
      <c r="H191" s="4" t="s">
        <v>39</v>
      </c>
      <c r="I191" s="4" t="s">
        <v>30</v>
      </c>
      <c r="J191" s="12" t="s">
        <v>42</v>
      </c>
      <c r="K191" s="4" t="s">
        <v>90</v>
      </c>
      <c r="L191" s="4">
        <v>11</v>
      </c>
      <c r="M191" s="11">
        <f t="shared" si="21"/>
        <v>0.44</v>
      </c>
      <c r="N191" s="4">
        <v>9</v>
      </c>
      <c r="O191" s="11">
        <f t="shared" si="22"/>
        <v>0.9</v>
      </c>
      <c r="P191" s="4">
        <v>14</v>
      </c>
      <c r="Q191" s="11">
        <f t="shared" si="23"/>
        <v>0.4</v>
      </c>
      <c r="R191" s="4">
        <v>9</v>
      </c>
      <c r="S191" s="11">
        <f t="shared" si="24"/>
        <v>0.3</v>
      </c>
      <c r="T191" s="4">
        <f t="shared" si="25"/>
        <v>43</v>
      </c>
      <c r="U191" s="11">
        <f t="shared" si="26"/>
        <v>0.43</v>
      </c>
      <c r="V191" s="13" t="str">
        <f t="shared" si="27"/>
        <v>INGRESÓ</v>
      </c>
      <c r="W191" s="13" t="s">
        <v>88</v>
      </c>
      <c r="X191" s="14">
        <v>45745</v>
      </c>
      <c r="Y191" s="13" t="s">
        <v>96</v>
      </c>
      <c r="Z191" s="13" t="e">
        <f>VLOOKUP(D191,Datos!$A$1:$C$256,3,FALSE)</f>
        <v>#N/A</v>
      </c>
    </row>
    <row r="192" spans="1:26" x14ac:dyDescent="0.25">
      <c r="A192" s="4">
        <v>123</v>
      </c>
      <c r="B192" s="12" t="e">
        <f>VLOOKUP(D192,Datos!$A$1:$H$256,4,FALSE)</f>
        <v>#N/A</v>
      </c>
      <c r="C192" s="12" t="e">
        <f>VLOOKUP(D192,Datos!$A$1:$H$256,5,FALSE)</f>
        <v>#N/A</v>
      </c>
      <c r="D192" s="4">
        <v>73459560</v>
      </c>
      <c r="E192" s="12" t="e">
        <f>VLOOKUP(D192,Datos!$A$1:$H$256,6,FALSE)</f>
        <v>#N/A</v>
      </c>
      <c r="F192" s="12" t="e">
        <f>VLOOKUP(D192,Datos!$A$1:$H$256,7,FALSE)</f>
        <v>#N/A</v>
      </c>
      <c r="G192" s="12" t="e">
        <f>VLOOKUP(D192,Datos!$A$1:$H$256,8,FALSE)</f>
        <v>#N/A</v>
      </c>
      <c r="H192" s="4" t="s">
        <v>39</v>
      </c>
      <c r="I192" s="4" t="s">
        <v>30</v>
      </c>
      <c r="J192" s="12" t="s">
        <v>42</v>
      </c>
      <c r="K192" s="4" t="s">
        <v>90</v>
      </c>
      <c r="L192" s="4">
        <v>7</v>
      </c>
      <c r="M192" s="11">
        <f t="shared" si="21"/>
        <v>0.28000000000000003</v>
      </c>
      <c r="N192" s="4">
        <v>7</v>
      </c>
      <c r="O192" s="11">
        <f t="shared" si="22"/>
        <v>0.7</v>
      </c>
      <c r="P192" s="4">
        <v>10</v>
      </c>
      <c r="Q192" s="11">
        <f t="shared" si="23"/>
        <v>0.2857142857142857</v>
      </c>
      <c r="R192" s="4">
        <v>9</v>
      </c>
      <c r="S192" s="11">
        <f t="shared" si="24"/>
        <v>0.3</v>
      </c>
      <c r="T192" s="4">
        <f t="shared" si="25"/>
        <v>33</v>
      </c>
      <c r="U192" s="11">
        <f t="shared" si="26"/>
        <v>0.33</v>
      </c>
      <c r="V192" s="13" t="str">
        <f t="shared" si="27"/>
        <v>INGRESÓ</v>
      </c>
      <c r="W192" s="13" t="s">
        <v>88</v>
      </c>
      <c r="X192" s="14">
        <v>45745</v>
      </c>
      <c r="Y192" s="13" t="s">
        <v>96</v>
      </c>
      <c r="Z192" s="13" t="e">
        <f>VLOOKUP(D192,Datos!$A$1:$C$256,3,FALSE)</f>
        <v>#N/A</v>
      </c>
    </row>
    <row r="193" spans="1:26" hidden="1" x14ac:dyDescent="0.25">
      <c r="A193" s="4">
        <v>124</v>
      </c>
      <c r="B193" s="12" t="e">
        <f>VLOOKUP(D193,Datos!$A$1:$H$256,4,FALSE)</f>
        <v>#N/A</v>
      </c>
      <c r="C193" s="12" t="e">
        <f>VLOOKUP(D193,Datos!$A$1:$H$256,5,FALSE)</f>
        <v>#N/A</v>
      </c>
      <c r="D193" s="4">
        <v>72701771</v>
      </c>
      <c r="E193" s="12" t="e">
        <f>VLOOKUP(D193,Datos!$A$1:$H$256,6,FALSE)</f>
        <v>#N/A</v>
      </c>
      <c r="F193" s="12" t="e">
        <f>VLOOKUP(D193,Datos!$A$1:$H$256,7,FALSE)</f>
        <v>#N/A</v>
      </c>
      <c r="G193" s="12" t="e">
        <f>VLOOKUP(D193,Datos!$A$1:$H$256,8,FALSE)</f>
        <v>#N/A</v>
      </c>
      <c r="H193" s="4" t="s">
        <v>39</v>
      </c>
      <c r="I193" s="4" t="s">
        <v>34</v>
      </c>
      <c r="J193" s="12" t="s">
        <v>42</v>
      </c>
      <c r="K193" s="4" t="s">
        <v>90</v>
      </c>
      <c r="L193" s="4">
        <v>6</v>
      </c>
      <c r="M193" s="11">
        <f t="shared" si="21"/>
        <v>0.24</v>
      </c>
      <c r="N193" s="4">
        <v>9</v>
      </c>
      <c r="O193" s="11">
        <f t="shared" si="22"/>
        <v>0.9</v>
      </c>
      <c r="P193" s="4">
        <v>9</v>
      </c>
      <c r="Q193" s="11">
        <f t="shared" si="23"/>
        <v>0.25714285714285712</v>
      </c>
      <c r="R193" s="4">
        <v>5</v>
      </c>
      <c r="S193" s="11">
        <f t="shared" si="24"/>
        <v>0.16666666666666666</v>
      </c>
      <c r="T193" s="4">
        <f t="shared" si="25"/>
        <v>29</v>
      </c>
      <c r="U193" s="11">
        <f t="shared" si="26"/>
        <v>0.28999999999999998</v>
      </c>
      <c r="V193" s="13" t="str">
        <f t="shared" si="27"/>
        <v>INGRESÓ</v>
      </c>
      <c r="W193" s="13" t="s">
        <v>88</v>
      </c>
      <c r="X193" s="14">
        <v>45745</v>
      </c>
      <c r="Y193" s="13" t="s">
        <v>96</v>
      </c>
      <c r="Z193" s="13" t="e">
        <f>VLOOKUP(D193,Datos!$A$1:$C$256,3,FALSE)</f>
        <v>#N/A</v>
      </c>
    </row>
    <row r="194" spans="1:26" x14ac:dyDescent="0.25">
      <c r="A194" s="4">
        <v>125</v>
      </c>
      <c r="B194" s="12" t="e">
        <f>VLOOKUP(D194,Datos!$A$1:$H$256,4,FALSE)</f>
        <v>#N/A</v>
      </c>
      <c r="C194" s="12" t="e">
        <f>VLOOKUP(D194,Datos!$A$1:$H$256,5,FALSE)</f>
        <v>#N/A</v>
      </c>
      <c r="D194" s="4">
        <v>72699783</v>
      </c>
      <c r="E194" s="12" t="e">
        <f>VLOOKUP(D194,Datos!$A$1:$H$256,6,FALSE)</f>
        <v>#N/A</v>
      </c>
      <c r="F194" s="12" t="e">
        <f>VLOOKUP(D194,Datos!$A$1:$H$256,7,FALSE)</f>
        <v>#N/A</v>
      </c>
      <c r="G194" s="12" t="e">
        <f>VLOOKUP(D194,Datos!$A$1:$H$256,8,FALSE)</f>
        <v>#N/A</v>
      </c>
      <c r="H194" s="4" t="s">
        <v>39</v>
      </c>
      <c r="I194" s="4" t="s">
        <v>30</v>
      </c>
      <c r="J194" s="12" t="s">
        <v>42</v>
      </c>
      <c r="K194" s="4" t="s">
        <v>90</v>
      </c>
      <c r="L194" s="4">
        <v>7</v>
      </c>
      <c r="M194" s="11">
        <f t="shared" si="21"/>
        <v>0.28000000000000003</v>
      </c>
      <c r="N194" s="4">
        <v>9</v>
      </c>
      <c r="O194" s="11">
        <f t="shared" si="22"/>
        <v>0.9</v>
      </c>
      <c r="P194" s="4">
        <v>10</v>
      </c>
      <c r="Q194" s="11">
        <f t="shared" si="23"/>
        <v>0.2857142857142857</v>
      </c>
      <c r="R194" s="4">
        <v>5</v>
      </c>
      <c r="S194" s="11">
        <f t="shared" si="24"/>
        <v>0.16666666666666666</v>
      </c>
      <c r="T194" s="4">
        <f t="shared" si="25"/>
        <v>31</v>
      </c>
      <c r="U194" s="11">
        <f t="shared" si="26"/>
        <v>0.31</v>
      </c>
      <c r="V194" s="13" t="str">
        <f t="shared" si="27"/>
        <v>INGRESÓ</v>
      </c>
      <c r="W194" s="13" t="s">
        <v>88</v>
      </c>
      <c r="X194" s="14">
        <v>45745</v>
      </c>
      <c r="Y194" s="13" t="s">
        <v>96</v>
      </c>
      <c r="Z194" s="13" t="e">
        <f>VLOOKUP(D194,Datos!$A$1:$C$256,3,FALSE)</f>
        <v>#N/A</v>
      </c>
    </row>
    <row r="195" spans="1:26" hidden="1" x14ac:dyDescent="0.25">
      <c r="A195" s="4">
        <v>126</v>
      </c>
      <c r="B195" s="12" t="e">
        <f>VLOOKUP(D195,Datos!$A$1:$H$256,4,FALSE)</f>
        <v>#N/A</v>
      </c>
      <c r="C195" s="12" t="e">
        <f>VLOOKUP(D195,Datos!$A$1:$H$256,5,FALSE)</f>
        <v>#N/A</v>
      </c>
      <c r="D195" s="4">
        <v>74247376</v>
      </c>
      <c r="E195" s="12" t="e">
        <f>VLOOKUP(D195,Datos!$A$1:$H$256,6,FALSE)</f>
        <v>#N/A</v>
      </c>
      <c r="F195" s="12" t="e">
        <f>VLOOKUP(D195,Datos!$A$1:$H$256,7,FALSE)</f>
        <v>#N/A</v>
      </c>
      <c r="G195" s="12" t="e">
        <f>VLOOKUP(D195,Datos!$A$1:$H$256,8,FALSE)</f>
        <v>#N/A</v>
      </c>
      <c r="H195" s="4" t="s">
        <v>39</v>
      </c>
      <c r="I195" s="4" t="s">
        <v>99</v>
      </c>
      <c r="J195" s="12" t="s">
        <v>42</v>
      </c>
      <c r="K195" s="4" t="s">
        <v>90</v>
      </c>
      <c r="L195" s="4">
        <v>6</v>
      </c>
      <c r="M195" s="11">
        <f t="shared" si="21"/>
        <v>0.24</v>
      </c>
      <c r="N195" s="4">
        <v>8</v>
      </c>
      <c r="O195" s="11">
        <f t="shared" si="22"/>
        <v>0.8</v>
      </c>
      <c r="P195" s="4">
        <v>9</v>
      </c>
      <c r="Q195" s="11">
        <f t="shared" si="23"/>
        <v>0.25714285714285712</v>
      </c>
      <c r="R195" s="4">
        <v>9</v>
      </c>
      <c r="S195" s="11">
        <f t="shared" si="24"/>
        <v>0.3</v>
      </c>
      <c r="T195" s="4">
        <f t="shared" si="25"/>
        <v>32</v>
      </c>
      <c r="U195" s="11">
        <f t="shared" si="26"/>
        <v>0.32</v>
      </c>
      <c r="V195" s="13" t="str">
        <f t="shared" si="27"/>
        <v>INGRESÓ</v>
      </c>
      <c r="W195" s="13" t="s">
        <v>88</v>
      </c>
      <c r="X195" s="14">
        <v>45745</v>
      </c>
      <c r="Y195" s="13" t="s">
        <v>96</v>
      </c>
      <c r="Z195" s="13" t="e">
        <f>VLOOKUP(D195,Datos!$A$1:$C$256,3,FALSE)</f>
        <v>#N/A</v>
      </c>
    </row>
    <row r="196" spans="1:26" hidden="1" x14ac:dyDescent="0.25">
      <c r="A196" s="4">
        <v>127</v>
      </c>
      <c r="B196" s="12" t="e">
        <f>VLOOKUP(D196,Datos!$A$1:$H$256,4,FALSE)</f>
        <v>#N/A</v>
      </c>
      <c r="C196" s="12" t="e">
        <f>VLOOKUP(D196,Datos!$A$1:$H$256,5,FALSE)</f>
        <v>#N/A</v>
      </c>
      <c r="D196" s="4">
        <v>46745429</v>
      </c>
      <c r="E196" s="12" t="e">
        <f>VLOOKUP(D196,Datos!$A$1:$H$256,6,FALSE)</f>
        <v>#N/A</v>
      </c>
      <c r="F196" s="12" t="e">
        <f>VLOOKUP(D196,Datos!$A$1:$H$256,7,FALSE)</f>
        <v>#N/A</v>
      </c>
      <c r="G196" s="12" t="e">
        <f>VLOOKUP(D196,Datos!$A$1:$H$256,8,FALSE)</f>
        <v>#N/A</v>
      </c>
      <c r="H196" s="4" t="s">
        <v>39</v>
      </c>
      <c r="I196" s="4" t="s">
        <v>99</v>
      </c>
      <c r="J196" s="12" t="s">
        <v>42</v>
      </c>
      <c r="K196" s="4" t="s">
        <v>90</v>
      </c>
      <c r="L196" s="4">
        <v>9</v>
      </c>
      <c r="M196" s="11">
        <f t="shared" si="21"/>
        <v>0.36</v>
      </c>
      <c r="N196" s="4">
        <v>4</v>
      </c>
      <c r="O196" s="11">
        <f t="shared" si="22"/>
        <v>0.4</v>
      </c>
      <c r="P196" s="4">
        <v>6</v>
      </c>
      <c r="Q196" s="11">
        <f t="shared" si="23"/>
        <v>0.17142857142857143</v>
      </c>
      <c r="R196" s="4">
        <v>9</v>
      </c>
      <c r="S196" s="11">
        <f t="shared" si="24"/>
        <v>0.3</v>
      </c>
      <c r="T196" s="4">
        <f t="shared" si="25"/>
        <v>28</v>
      </c>
      <c r="U196" s="11">
        <f t="shared" si="26"/>
        <v>0.28000000000000003</v>
      </c>
      <c r="V196" s="13" t="str">
        <f t="shared" si="27"/>
        <v>INGRESÓ</v>
      </c>
      <c r="W196" s="13" t="s">
        <v>88</v>
      </c>
      <c r="X196" s="14">
        <v>45745</v>
      </c>
      <c r="Y196" s="13" t="s">
        <v>96</v>
      </c>
      <c r="Z196" s="13" t="e">
        <f>VLOOKUP(D196,Datos!$A$1:$C$256,3,FALSE)</f>
        <v>#N/A</v>
      </c>
    </row>
    <row r="197" spans="1:26" hidden="1" x14ac:dyDescent="0.25">
      <c r="A197" s="4">
        <v>128</v>
      </c>
      <c r="B197" s="12" t="e">
        <f>VLOOKUP(D197,Datos!$A$1:$H$256,4,FALSE)</f>
        <v>#N/A</v>
      </c>
      <c r="C197" s="12" t="e">
        <f>VLOOKUP(D197,Datos!$A$1:$H$256,5,FALSE)</f>
        <v>#N/A</v>
      </c>
      <c r="D197" s="4">
        <v>41010285</v>
      </c>
      <c r="E197" s="12" t="e">
        <f>VLOOKUP(D197,Datos!$A$1:$H$256,6,FALSE)</f>
        <v>#N/A</v>
      </c>
      <c r="F197" s="12" t="e">
        <f>VLOOKUP(D197,Datos!$A$1:$H$256,7,FALSE)</f>
        <v>#N/A</v>
      </c>
      <c r="G197" s="12" t="e">
        <f>VLOOKUP(D197,Datos!$A$1:$H$256,8,FALSE)</f>
        <v>#N/A</v>
      </c>
      <c r="H197" s="4" t="s">
        <v>39</v>
      </c>
      <c r="I197" s="4" t="s">
        <v>99</v>
      </c>
      <c r="J197" s="12" t="s">
        <v>42</v>
      </c>
      <c r="K197" s="4" t="s">
        <v>90</v>
      </c>
      <c r="L197" s="4">
        <v>15</v>
      </c>
      <c r="M197" s="11">
        <f t="shared" si="21"/>
        <v>0.6</v>
      </c>
      <c r="N197" s="4">
        <v>9</v>
      </c>
      <c r="O197" s="11">
        <f t="shared" si="22"/>
        <v>0.9</v>
      </c>
      <c r="P197" s="4">
        <v>6</v>
      </c>
      <c r="Q197" s="11">
        <f t="shared" si="23"/>
        <v>0.17142857142857143</v>
      </c>
      <c r="R197" s="4">
        <v>13</v>
      </c>
      <c r="S197" s="11">
        <f t="shared" si="24"/>
        <v>0.43333333333333335</v>
      </c>
      <c r="T197" s="4">
        <f t="shared" si="25"/>
        <v>43</v>
      </c>
      <c r="U197" s="11">
        <f t="shared" si="26"/>
        <v>0.43</v>
      </c>
      <c r="V197" s="13" t="str">
        <f t="shared" si="27"/>
        <v>INGRESÓ</v>
      </c>
      <c r="W197" s="13" t="s">
        <v>88</v>
      </c>
      <c r="X197" s="14">
        <v>45745</v>
      </c>
      <c r="Y197" s="13" t="s">
        <v>96</v>
      </c>
      <c r="Z197" s="13" t="e">
        <f>VLOOKUP(D197,Datos!$A$1:$C$256,3,FALSE)</f>
        <v>#N/A</v>
      </c>
    </row>
    <row r="198" spans="1:26" hidden="1" x14ac:dyDescent="0.25">
      <c r="A198" s="4">
        <v>129</v>
      </c>
      <c r="B198" s="12" t="e">
        <f>VLOOKUP(D198,Datos!$A$1:$H$256,4,FALSE)</f>
        <v>#N/A</v>
      </c>
      <c r="C198" s="12" t="e">
        <f>VLOOKUP(D198,Datos!$A$1:$H$256,5,FALSE)</f>
        <v>#N/A</v>
      </c>
      <c r="D198" s="4">
        <v>61134519</v>
      </c>
      <c r="E198" s="12" t="e">
        <f>VLOOKUP(D198,Datos!$A$1:$H$256,6,FALSE)</f>
        <v>#N/A</v>
      </c>
      <c r="F198" s="12" t="e">
        <f>VLOOKUP(D198,Datos!$A$1:$H$256,7,FALSE)</f>
        <v>#N/A</v>
      </c>
      <c r="G198" s="12" t="e">
        <f>VLOOKUP(D198,Datos!$A$1:$H$256,8,FALSE)</f>
        <v>#N/A</v>
      </c>
      <c r="H198" s="4" t="s">
        <v>39</v>
      </c>
      <c r="I198" s="4" t="s">
        <v>100</v>
      </c>
      <c r="J198" s="12" t="s">
        <v>42</v>
      </c>
      <c r="K198" s="4" t="s">
        <v>90</v>
      </c>
      <c r="L198" s="4">
        <v>13</v>
      </c>
      <c r="M198" s="11">
        <f t="shared" si="21"/>
        <v>0.52</v>
      </c>
      <c r="N198" s="4">
        <v>10</v>
      </c>
      <c r="O198" s="11">
        <f t="shared" si="22"/>
        <v>1</v>
      </c>
      <c r="P198" s="4">
        <v>11</v>
      </c>
      <c r="Q198" s="11">
        <f t="shared" si="23"/>
        <v>0.31428571428571428</v>
      </c>
      <c r="R198" s="4">
        <v>8</v>
      </c>
      <c r="S198" s="11">
        <f t="shared" si="24"/>
        <v>0.26666666666666666</v>
      </c>
      <c r="T198" s="4">
        <f t="shared" si="25"/>
        <v>42</v>
      </c>
      <c r="U198" s="11">
        <f t="shared" si="26"/>
        <v>0.42</v>
      </c>
      <c r="V198" s="13" t="str">
        <f t="shared" si="27"/>
        <v>INGRESÓ</v>
      </c>
      <c r="W198" s="13" t="s">
        <v>88</v>
      </c>
      <c r="X198" s="14">
        <v>45745</v>
      </c>
      <c r="Y198" s="13" t="s">
        <v>96</v>
      </c>
      <c r="Z198" s="13" t="e">
        <f>VLOOKUP(D198,Datos!$A$1:$C$256,3,FALSE)</f>
        <v>#N/A</v>
      </c>
    </row>
    <row r="199" spans="1:26" hidden="1" x14ac:dyDescent="0.25">
      <c r="A199" s="4">
        <v>130</v>
      </c>
      <c r="B199" s="12" t="e">
        <f>VLOOKUP(D199,Datos!$A$1:$H$256,4,FALSE)</f>
        <v>#N/A</v>
      </c>
      <c r="C199" s="12" t="e">
        <f>VLOOKUP(D199,Datos!$A$1:$H$256,5,FALSE)</f>
        <v>#N/A</v>
      </c>
      <c r="D199" s="4">
        <v>76121002</v>
      </c>
      <c r="E199" s="12" t="e">
        <f>VLOOKUP(D199,Datos!$A$1:$H$256,6,FALSE)</f>
        <v>#N/A</v>
      </c>
      <c r="F199" s="12" t="e">
        <f>VLOOKUP(D199,Datos!$A$1:$H$256,7,FALSE)</f>
        <v>#N/A</v>
      </c>
      <c r="G199" s="12" t="e">
        <f>VLOOKUP(D199,Datos!$A$1:$H$256,8,FALSE)</f>
        <v>#N/A</v>
      </c>
      <c r="H199" s="4" t="s">
        <v>39</v>
      </c>
      <c r="I199" s="4" t="s">
        <v>99</v>
      </c>
      <c r="J199" s="12" t="s">
        <v>42</v>
      </c>
      <c r="K199" s="4" t="s">
        <v>90</v>
      </c>
      <c r="L199" s="4">
        <v>6</v>
      </c>
      <c r="M199" s="11">
        <f t="shared" ref="M199:M253" si="28">IF(L199="","",(L199/25))</f>
        <v>0.24</v>
      </c>
      <c r="N199" s="4">
        <v>9</v>
      </c>
      <c r="O199" s="11">
        <f t="shared" ref="O199:O253" si="29">IF(N199="","",(N199/10))</f>
        <v>0.9</v>
      </c>
      <c r="P199" s="4">
        <v>11</v>
      </c>
      <c r="Q199" s="11">
        <f t="shared" ref="Q199:Q253" si="30">IF(P199="","",(P199/35))</f>
        <v>0.31428571428571428</v>
      </c>
      <c r="R199" s="4">
        <v>8</v>
      </c>
      <c r="S199" s="11">
        <f t="shared" ref="S199:S253" si="31">IF(R199="","",(R199/30))</f>
        <v>0.26666666666666666</v>
      </c>
      <c r="T199" s="4">
        <f t="shared" ref="T199:T253" si="32">SUM(L199,N199,P199,R199)</f>
        <v>34</v>
      </c>
      <c r="U199" s="11">
        <f t="shared" ref="U199:U253" si="33">IF(T199="","",(T199/100))</f>
        <v>0.34</v>
      </c>
      <c r="V199" s="13" t="str">
        <f t="shared" ref="V199:V253" si="34">IF(U199=0,"NO INGRESÓ","INGRESÓ")</f>
        <v>INGRESÓ</v>
      </c>
      <c r="W199" s="13" t="s">
        <v>88</v>
      </c>
      <c r="X199" s="14">
        <v>45745</v>
      </c>
      <c r="Y199" s="13" t="s">
        <v>96</v>
      </c>
      <c r="Z199" s="13" t="e">
        <f>VLOOKUP(D199,Datos!$A$1:$C$256,3,FALSE)</f>
        <v>#N/A</v>
      </c>
    </row>
    <row r="200" spans="1:26" hidden="1" x14ac:dyDescent="0.25">
      <c r="A200" s="4">
        <v>131</v>
      </c>
      <c r="B200" s="12" t="e">
        <f>VLOOKUP(D200,Datos!$A$1:$H$256,4,FALSE)</f>
        <v>#N/A</v>
      </c>
      <c r="C200" s="12" t="e">
        <f>VLOOKUP(D200,Datos!$A$1:$H$256,5,FALSE)</f>
        <v>#N/A</v>
      </c>
      <c r="D200" s="4">
        <v>61619474</v>
      </c>
      <c r="E200" s="12" t="e">
        <f>VLOOKUP(D200,Datos!$A$1:$H$256,6,FALSE)</f>
        <v>#N/A</v>
      </c>
      <c r="F200" s="12" t="e">
        <f>VLOOKUP(D200,Datos!$A$1:$H$256,7,FALSE)</f>
        <v>#N/A</v>
      </c>
      <c r="G200" s="12" t="e">
        <f>VLOOKUP(D200,Datos!$A$1:$H$256,8,FALSE)</f>
        <v>#N/A</v>
      </c>
      <c r="H200" s="4" t="s">
        <v>39</v>
      </c>
      <c r="I200" s="4" t="s">
        <v>27</v>
      </c>
      <c r="J200" s="12" t="s">
        <v>42</v>
      </c>
      <c r="K200" s="4" t="s">
        <v>90</v>
      </c>
      <c r="L200" s="4">
        <v>8</v>
      </c>
      <c r="M200" s="11">
        <f t="shared" si="28"/>
        <v>0.32</v>
      </c>
      <c r="N200" s="4">
        <v>9</v>
      </c>
      <c r="O200" s="11">
        <f t="shared" si="29"/>
        <v>0.9</v>
      </c>
      <c r="P200" s="4">
        <v>7</v>
      </c>
      <c r="Q200" s="11">
        <f t="shared" si="30"/>
        <v>0.2</v>
      </c>
      <c r="R200" s="4">
        <v>6</v>
      </c>
      <c r="S200" s="11">
        <f t="shared" si="31"/>
        <v>0.2</v>
      </c>
      <c r="T200" s="4">
        <f t="shared" si="32"/>
        <v>30</v>
      </c>
      <c r="U200" s="11">
        <f t="shared" si="33"/>
        <v>0.3</v>
      </c>
      <c r="V200" s="13" t="str">
        <f t="shared" si="34"/>
        <v>INGRESÓ</v>
      </c>
      <c r="W200" s="13" t="s">
        <v>88</v>
      </c>
      <c r="X200" s="14">
        <v>45745</v>
      </c>
      <c r="Y200" s="13" t="s">
        <v>96</v>
      </c>
      <c r="Z200" s="13" t="e">
        <f>VLOOKUP(D200,Datos!$A$1:$C$256,3,FALSE)</f>
        <v>#N/A</v>
      </c>
    </row>
    <row r="201" spans="1:26" hidden="1" x14ac:dyDescent="0.25">
      <c r="A201" s="4">
        <v>132</v>
      </c>
      <c r="B201" s="12" t="e">
        <f>VLOOKUP(D201,Datos!$A$1:$H$256,4,FALSE)</f>
        <v>#N/A</v>
      </c>
      <c r="C201" s="12" t="e">
        <f>VLOOKUP(D201,Datos!$A$1:$H$256,5,FALSE)</f>
        <v>#N/A</v>
      </c>
      <c r="D201" s="4">
        <v>76125540</v>
      </c>
      <c r="E201" s="12" t="e">
        <f>VLOOKUP(D201,Datos!$A$1:$H$256,6,FALSE)</f>
        <v>#N/A</v>
      </c>
      <c r="F201" s="12" t="e">
        <f>VLOOKUP(D201,Datos!$A$1:$H$256,7,FALSE)</f>
        <v>#N/A</v>
      </c>
      <c r="G201" s="12" t="e">
        <f>VLOOKUP(D201,Datos!$A$1:$H$256,8,FALSE)</f>
        <v>#N/A</v>
      </c>
      <c r="H201" s="4" t="s">
        <v>39</v>
      </c>
      <c r="I201" s="4" t="s">
        <v>34</v>
      </c>
      <c r="J201" s="12" t="s">
        <v>42</v>
      </c>
      <c r="K201" s="4" t="s">
        <v>90</v>
      </c>
      <c r="L201" s="4">
        <v>8</v>
      </c>
      <c r="M201" s="11">
        <f t="shared" si="28"/>
        <v>0.32</v>
      </c>
      <c r="N201" s="4">
        <v>9</v>
      </c>
      <c r="O201" s="11">
        <f t="shared" si="29"/>
        <v>0.9</v>
      </c>
      <c r="P201" s="4">
        <v>7</v>
      </c>
      <c r="Q201" s="11">
        <f t="shared" si="30"/>
        <v>0.2</v>
      </c>
      <c r="R201" s="4">
        <v>9</v>
      </c>
      <c r="S201" s="11">
        <f t="shared" si="31"/>
        <v>0.3</v>
      </c>
      <c r="T201" s="4">
        <f t="shared" si="32"/>
        <v>33</v>
      </c>
      <c r="U201" s="11">
        <f t="shared" si="33"/>
        <v>0.33</v>
      </c>
      <c r="V201" s="13" t="str">
        <f t="shared" si="34"/>
        <v>INGRESÓ</v>
      </c>
      <c r="W201" s="13" t="s">
        <v>88</v>
      </c>
      <c r="X201" s="14">
        <v>45745</v>
      </c>
      <c r="Y201" s="13" t="s">
        <v>96</v>
      </c>
      <c r="Z201" s="13" t="e">
        <f>VLOOKUP(D201,Datos!$A$1:$C$256,3,FALSE)</f>
        <v>#N/A</v>
      </c>
    </row>
    <row r="202" spans="1:26" x14ac:dyDescent="0.25">
      <c r="A202" s="4">
        <v>133</v>
      </c>
      <c r="B202" s="12" t="e">
        <f>VLOOKUP(D202,Datos!$A$1:$H$256,4,FALSE)</f>
        <v>#N/A</v>
      </c>
      <c r="C202" s="12" t="e">
        <f>VLOOKUP(D202,Datos!$A$1:$H$256,5,FALSE)</f>
        <v>#N/A</v>
      </c>
      <c r="D202" s="4">
        <v>61298054</v>
      </c>
      <c r="E202" s="12" t="e">
        <f>VLOOKUP(D202,Datos!$A$1:$H$256,6,FALSE)</f>
        <v>#N/A</v>
      </c>
      <c r="F202" s="12" t="e">
        <f>VLOOKUP(D202,Datos!$A$1:$H$256,7,FALSE)</f>
        <v>#N/A</v>
      </c>
      <c r="G202" s="12" t="e">
        <f>VLOOKUP(D202,Datos!$A$1:$H$256,8,FALSE)</f>
        <v>#N/A</v>
      </c>
      <c r="H202" s="4" t="s">
        <v>39</v>
      </c>
      <c r="I202" s="4" t="s">
        <v>30</v>
      </c>
      <c r="J202" s="12" t="s">
        <v>42</v>
      </c>
      <c r="K202" s="4" t="s">
        <v>90</v>
      </c>
      <c r="L202" s="4">
        <v>11</v>
      </c>
      <c r="M202" s="11">
        <f t="shared" si="28"/>
        <v>0.44</v>
      </c>
      <c r="N202" s="4">
        <v>9</v>
      </c>
      <c r="O202" s="11">
        <f t="shared" si="29"/>
        <v>0.9</v>
      </c>
      <c r="P202" s="4">
        <v>16</v>
      </c>
      <c r="Q202" s="11">
        <f t="shared" si="30"/>
        <v>0.45714285714285713</v>
      </c>
      <c r="R202" s="4">
        <v>6</v>
      </c>
      <c r="S202" s="11">
        <f t="shared" si="31"/>
        <v>0.2</v>
      </c>
      <c r="T202" s="4">
        <f t="shared" si="32"/>
        <v>42</v>
      </c>
      <c r="U202" s="11">
        <f t="shared" si="33"/>
        <v>0.42</v>
      </c>
      <c r="V202" s="13" t="str">
        <f t="shared" si="34"/>
        <v>INGRESÓ</v>
      </c>
      <c r="W202" s="13" t="s">
        <v>88</v>
      </c>
      <c r="X202" s="14">
        <v>45745</v>
      </c>
      <c r="Y202" s="13" t="s">
        <v>96</v>
      </c>
      <c r="Z202" s="13" t="e">
        <f>VLOOKUP(D202,Datos!$A$1:$C$256,3,FALSE)</f>
        <v>#N/A</v>
      </c>
    </row>
    <row r="203" spans="1:26" hidden="1" x14ac:dyDescent="0.25">
      <c r="A203" s="4">
        <v>134</v>
      </c>
      <c r="B203" s="12" t="e">
        <f>VLOOKUP(D203,Datos!$A$1:$H$256,4,FALSE)</f>
        <v>#N/A</v>
      </c>
      <c r="C203" s="12" t="e">
        <f>VLOOKUP(D203,Datos!$A$1:$H$256,5,FALSE)</f>
        <v>#N/A</v>
      </c>
      <c r="D203" s="4">
        <v>75169341</v>
      </c>
      <c r="E203" s="12" t="e">
        <f>VLOOKUP(D203,Datos!$A$1:$H$256,6,FALSE)</f>
        <v>#N/A</v>
      </c>
      <c r="F203" s="12" t="e">
        <f>VLOOKUP(D203,Datos!$A$1:$H$256,7,FALSE)</f>
        <v>#N/A</v>
      </c>
      <c r="G203" s="12" t="e">
        <f>VLOOKUP(D203,Datos!$A$1:$H$256,8,FALSE)</f>
        <v>#N/A</v>
      </c>
      <c r="H203" s="4" t="s">
        <v>39</v>
      </c>
      <c r="I203" s="4" t="s">
        <v>34</v>
      </c>
      <c r="J203" s="12" t="s">
        <v>42</v>
      </c>
      <c r="K203" s="4" t="s">
        <v>90</v>
      </c>
      <c r="L203" s="4">
        <v>10</v>
      </c>
      <c r="M203" s="11">
        <f t="shared" si="28"/>
        <v>0.4</v>
      </c>
      <c r="N203" s="4">
        <v>10</v>
      </c>
      <c r="O203" s="11">
        <f t="shared" si="29"/>
        <v>1</v>
      </c>
      <c r="P203" s="4">
        <v>13</v>
      </c>
      <c r="Q203" s="11">
        <f t="shared" si="30"/>
        <v>0.37142857142857144</v>
      </c>
      <c r="R203" s="4">
        <v>7</v>
      </c>
      <c r="S203" s="11">
        <f t="shared" si="31"/>
        <v>0.23333333333333334</v>
      </c>
      <c r="T203" s="4">
        <f t="shared" si="32"/>
        <v>40</v>
      </c>
      <c r="U203" s="11">
        <f t="shared" si="33"/>
        <v>0.4</v>
      </c>
      <c r="V203" s="13" t="str">
        <f t="shared" si="34"/>
        <v>INGRESÓ</v>
      </c>
      <c r="W203" s="13" t="s">
        <v>88</v>
      </c>
      <c r="X203" s="14">
        <v>45745</v>
      </c>
      <c r="Y203" s="13" t="s">
        <v>96</v>
      </c>
      <c r="Z203" s="13" t="e">
        <f>VLOOKUP(D203,Datos!$A$1:$C$256,3,FALSE)</f>
        <v>#N/A</v>
      </c>
    </row>
    <row r="204" spans="1:26" x14ac:dyDescent="0.25">
      <c r="A204" s="4">
        <v>135</v>
      </c>
      <c r="B204" s="12" t="e">
        <f>VLOOKUP(D204,Datos!$A$1:$H$256,4,FALSE)</f>
        <v>#N/A</v>
      </c>
      <c r="C204" s="12" t="e">
        <f>VLOOKUP(D204,Datos!$A$1:$H$256,5,FALSE)</f>
        <v>#N/A</v>
      </c>
      <c r="D204" s="4">
        <v>71078649</v>
      </c>
      <c r="E204" s="12" t="e">
        <f>VLOOKUP(D204,Datos!$A$1:$H$256,6,FALSE)</f>
        <v>#N/A</v>
      </c>
      <c r="F204" s="12" t="e">
        <f>VLOOKUP(D204,Datos!$A$1:$H$256,7,FALSE)</f>
        <v>#N/A</v>
      </c>
      <c r="G204" s="12" t="e">
        <f>VLOOKUP(D204,Datos!$A$1:$H$256,8,FALSE)</f>
        <v>#N/A</v>
      </c>
      <c r="H204" s="4" t="s">
        <v>39</v>
      </c>
      <c r="I204" s="4" t="s">
        <v>30</v>
      </c>
      <c r="J204" s="12" t="s">
        <v>42</v>
      </c>
      <c r="K204" s="4" t="s">
        <v>90</v>
      </c>
      <c r="L204" s="4">
        <v>5</v>
      </c>
      <c r="M204" s="11">
        <f t="shared" si="28"/>
        <v>0.2</v>
      </c>
      <c r="N204" s="4">
        <v>9</v>
      </c>
      <c r="O204" s="11">
        <f t="shared" si="29"/>
        <v>0.9</v>
      </c>
      <c r="P204" s="4">
        <v>6</v>
      </c>
      <c r="Q204" s="11">
        <f t="shared" si="30"/>
        <v>0.17142857142857143</v>
      </c>
      <c r="R204" s="4">
        <v>9</v>
      </c>
      <c r="S204" s="11">
        <f t="shared" si="31"/>
        <v>0.3</v>
      </c>
      <c r="T204" s="4">
        <f t="shared" si="32"/>
        <v>29</v>
      </c>
      <c r="U204" s="11">
        <f t="shared" si="33"/>
        <v>0.28999999999999998</v>
      </c>
      <c r="V204" s="13" t="str">
        <f t="shared" si="34"/>
        <v>INGRESÓ</v>
      </c>
      <c r="W204" s="13" t="s">
        <v>88</v>
      </c>
      <c r="X204" s="14">
        <v>45745</v>
      </c>
      <c r="Y204" s="13" t="s">
        <v>96</v>
      </c>
      <c r="Z204" s="13" t="e">
        <f>VLOOKUP(D204,Datos!$A$1:$C$256,3,FALSE)</f>
        <v>#N/A</v>
      </c>
    </row>
    <row r="205" spans="1:26" x14ac:dyDescent="0.25">
      <c r="A205" s="4">
        <v>136</v>
      </c>
      <c r="B205" s="12" t="e">
        <f>VLOOKUP(D205,Datos!$A$1:$H$256,4,FALSE)</f>
        <v>#N/A</v>
      </c>
      <c r="C205" s="12" t="e">
        <f>VLOOKUP(D205,Datos!$A$1:$H$256,5,FALSE)</f>
        <v>#N/A</v>
      </c>
      <c r="D205" s="4">
        <v>60583374</v>
      </c>
      <c r="E205" s="12" t="e">
        <f>VLOOKUP(D205,Datos!$A$1:$H$256,6,FALSE)</f>
        <v>#N/A</v>
      </c>
      <c r="F205" s="12" t="e">
        <f>VLOOKUP(D205,Datos!$A$1:$H$256,7,FALSE)</f>
        <v>#N/A</v>
      </c>
      <c r="G205" s="12" t="e">
        <f>VLOOKUP(D205,Datos!$A$1:$H$256,8,FALSE)</f>
        <v>#N/A</v>
      </c>
      <c r="H205" s="4" t="s">
        <v>39</v>
      </c>
      <c r="I205" s="4" t="s">
        <v>30</v>
      </c>
      <c r="J205" s="12" t="s">
        <v>42</v>
      </c>
      <c r="K205" s="4" t="s">
        <v>90</v>
      </c>
      <c r="L205" s="4">
        <v>9</v>
      </c>
      <c r="M205" s="11">
        <f t="shared" si="28"/>
        <v>0.36</v>
      </c>
      <c r="N205" s="4">
        <v>3</v>
      </c>
      <c r="O205" s="11">
        <f t="shared" si="29"/>
        <v>0.3</v>
      </c>
      <c r="P205" s="4">
        <v>11</v>
      </c>
      <c r="Q205" s="11">
        <f t="shared" si="30"/>
        <v>0.31428571428571428</v>
      </c>
      <c r="R205" s="4">
        <v>7</v>
      </c>
      <c r="S205" s="11">
        <f t="shared" si="31"/>
        <v>0.23333333333333334</v>
      </c>
      <c r="T205" s="4">
        <f t="shared" si="32"/>
        <v>30</v>
      </c>
      <c r="U205" s="11">
        <f t="shared" si="33"/>
        <v>0.3</v>
      </c>
      <c r="V205" s="13" t="str">
        <f t="shared" si="34"/>
        <v>INGRESÓ</v>
      </c>
      <c r="W205" s="13" t="s">
        <v>88</v>
      </c>
      <c r="X205" s="14">
        <v>45745</v>
      </c>
      <c r="Y205" s="13" t="s">
        <v>96</v>
      </c>
      <c r="Z205" s="13" t="e">
        <f>VLOOKUP(D205,Datos!$A$1:$C$256,3,FALSE)</f>
        <v>#N/A</v>
      </c>
    </row>
    <row r="206" spans="1:26" hidden="1" x14ac:dyDescent="0.25">
      <c r="A206" s="4">
        <v>137</v>
      </c>
      <c r="B206" s="12" t="e">
        <f>VLOOKUP(D206,Datos!$A$1:$H$256,4,FALSE)</f>
        <v>#N/A</v>
      </c>
      <c r="C206" s="12" t="e">
        <f>VLOOKUP(D206,Datos!$A$1:$H$256,5,FALSE)</f>
        <v>#N/A</v>
      </c>
      <c r="D206" s="4">
        <v>46460748</v>
      </c>
      <c r="E206" s="12" t="e">
        <f>VLOOKUP(D206,Datos!$A$1:$H$256,6,FALSE)</f>
        <v>#N/A</v>
      </c>
      <c r="F206" s="12" t="e">
        <f>VLOOKUP(D206,Datos!$A$1:$H$256,7,FALSE)</f>
        <v>#N/A</v>
      </c>
      <c r="G206" s="12" t="e">
        <f>VLOOKUP(D206,Datos!$A$1:$H$256,8,FALSE)</f>
        <v>#N/A</v>
      </c>
      <c r="H206" s="4" t="s">
        <v>39</v>
      </c>
      <c r="I206" s="4" t="s">
        <v>101</v>
      </c>
      <c r="J206" s="12" t="s">
        <v>42</v>
      </c>
      <c r="K206" s="4" t="s">
        <v>90</v>
      </c>
      <c r="L206" s="4">
        <v>10</v>
      </c>
      <c r="M206" s="11">
        <f t="shared" si="28"/>
        <v>0.4</v>
      </c>
      <c r="N206" s="4">
        <v>8</v>
      </c>
      <c r="O206" s="11">
        <f t="shared" si="29"/>
        <v>0.8</v>
      </c>
      <c r="P206" s="4">
        <v>9</v>
      </c>
      <c r="Q206" s="11">
        <f t="shared" si="30"/>
        <v>0.25714285714285712</v>
      </c>
      <c r="R206" s="4">
        <v>7</v>
      </c>
      <c r="S206" s="11">
        <f t="shared" si="31"/>
        <v>0.23333333333333334</v>
      </c>
      <c r="T206" s="4">
        <f t="shared" si="32"/>
        <v>34</v>
      </c>
      <c r="U206" s="11">
        <f t="shared" si="33"/>
        <v>0.34</v>
      </c>
      <c r="V206" s="13" t="str">
        <f t="shared" si="34"/>
        <v>INGRESÓ</v>
      </c>
      <c r="W206" s="13" t="s">
        <v>88</v>
      </c>
      <c r="X206" s="14">
        <v>45745</v>
      </c>
      <c r="Y206" s="13" t="s">
        <v>96</v>
      </c>
      <c r="Z206" s="13" t="e">
        <f>VLOOKUP(D206,Datos!$A$1:$C$256,3,FALSE)</f>
        <v>#N/A</v>
      </c>
    </row>
    <row r="207" spans="1:26" x14ac:dyDescent="0.25">
      <c r="A207" s="4">
        <v>138</v>
      </c>
      <c r="B207" s="12" t="e">
        <f>VLOOKUP(D207,Datos!$A$1:$H$256,4,FALSE)</f>
        <v>#N/A</v>
      </c>
      <c r="C207" s="12" t="e">
        <f>VLOOKUP(D207,Datos!$A$1:$H$256,5,FALSE)</f>
        <v>#N/A</v>
      </c>
      <c r="D207" s="4">
        <v>46079565</v>
      </c>
      <c r="E207" s="12" t="e">
        <f>VLOOKUP(D207,Datos!$A$1:$H$256,6,FALSE)</f>
        <v>#N/A</v>
      </c>
      <c r="F207" s="12" t="e">
        <f>VLOOKUP(D207,Datos!$A$1:$H$256,7,FALSE)</f>
        <v>#N/A</v>
      </c>
      <c r="G207" s="12" t="e">
        <f>VLOOKUP(D207,Datos!$A$1:$H$256,8,FALSE)</f>
        <v>#N/A</v>
      </c>
      <c r="H207" s="4" t="s">
        <v>39</v>
      </c>
      <c r="I207" s="4" t="s">
        <v>30</v>
      </c>
      <c r="J207" s="12" t="s">
        <v>42</v>
      </c>
      <c r="K207" s="4" t="s">
        <v>90</v>
      </c>
      <c r="L207" s="4">
        <v>13</v>
      </c>
      <c r="M207" s="11">
        <f t="shared" si="28"/>
        <v>0.52</v>
      </c>
      <c r="N207" s="4">
        <v>10</v>
      </c>
      <c r="O207" s="11">
        <f t="shared" si="29"/>
        <v>1</v>
      </c>
      <c r="P207" s="4">
        <v>8</v>
      </c>
      <c r="Q207" s="11">
        <f t="shared" si="30"/>
        <v>0.22857142857142856</v>
      </c>
      <c r="R207" s="4">
        <v>14</v>
      </c>
      <c r="S207" s="11">
        <f t="shared" si="31"/>
        <v>0.46666666666666667</v>
      </c>
      <c r="T207" s="4">
        <f t="shared" si="32"/>
        <v>45</v>
      </c>
      <c r="U207" s="11">
        <f t="shared" si="33"/>
        <v>0.45</v>
      </c>
      <c r="V207" s="13" t="str">
        <f t="shared" si="34"/>
        <v>INGRESÓ</v>
      </c>
      <c r="W207" s="13" t="s">
        <v>88</v>
      </c>
      <c r="X207" s="14">
        <v>45745</v>
      </c>
      <c r="Y207" s="13" t="s">
        <v>96</v>
      </c>
      <c r="Z207" s="13" t="e">
        <f>VLOOKUP(D207,Datos!$A$1:$C$256,3,FALSE)</f>
        <v>#N/A</v>
      </c>
    </row>
    <row r="208" spans="1:26" hidden="1" x14ac:dyDescent="0.25">
      <c r="A208" s="4">
        <v>139</v>
      </c>
      <c r="B208" s="12" t="e">
        <f>VLOOKUP(D208,Datos!$A$1:$H$256,4,FALSE)</f>
        <v>#N/A</v>
      </c>
      <c r="C208" s="12" t="e">
        <f>VLOOKUP(D208,Datos!$A$1:$H$256,5,FALSE)</f>
        <v>#N/A</v>
      </c>
      <c r="D208" s="4">
        <v>61298357</v>
      </c>
      <c r="E208" s="12" t="e">
        <f>VLOOKUP(D208,Datos!$A$1:$H$256,6,FALSE)</f>
        <v>#N/A</v>
      </c>
      <c r="F208" s="12" t="e">
        <f>VLOOKUP(D208,Datos!$A$1:$H$256,7,FALSE)</f>
        <v>#N/A</v>
      </c>
      <c r="G208" s="12" t="e">
        <f>VLOOKUP(D208,Datos!$A$1:$H$256,8,FALSE)</f>
        <v>#N/A</v>
      </c>
      <c r="H208" s="4" t="s">
        <v>39</v>
      </c>
      <c r="I208" s="4" t="s">
        <v>34</v>
      </c>
      <c r="J208" s="12" t="s">
        <v>42</v>
      </c>
      <c r="K208" s="4" t="s">
        <v>90</v>
      </c>
      <c r="L208" s="4">
        <v>7</v>
      </c>
      <c r="M208" s="11">
        <f t="shared" si="28"/>
        <v>0.28000000000000003</v>
      </c>
      <c r="N208" s="4">
        <v>8</v>
      </c>
      <c r="O208" s="11">
        <f t="shared" si="29"/>
        <v>0.8</v>
      </c>
      <c r="P208" s="4">
        <v>12</v>
      </c>
      <c r="Q208" s="11">
        <f t="shared" si="30"/>
        <v>0.34285714285714286</v>
      </c>
      <c r="R208" s="4">
        <v>5</v>
      </c>
      <c r="S208" s="11">
        <f t="shared" si="31"/>
        <v>0.16666666666666666</v>
      </c>
      <c r="T208" s="4">
        <f t="shared" si="32"/>
        <v>32</v>
      </c>
      <c r="U208" s="11">
        <f t="shared" si="33"/>
        <v>0.32</v>
      </c>
      <c r="V208" s="13" t="str">
        <f t="shared" si="34"/>
        <v>INGRESÓ</v>
      </c>
      <c r="W208" s="13" t="s">
        <v>88</v>
      </c>
      <c r="X208" s="14">
        <v>45745</v>
      </c>
      <c r="Y208" s="13" t="s">
        <v>96</v>
      </c>
      <c r="Z208" s="13" t="e">
        <f>VLOOKUP(D208,Datos!$A$1:$C$256,3,FALSE)</f>
        <v>#N/A</v>
      </c>
    </row>
    <row r="209" spans="1:26" hidden="1" x14ac:dyDescent="0.25">
      <c r="A209" s="4">
        <v>140</v>
      </c>
      <c r="B209" s="12" t="e">
        <f>VLOOKUP(D209,Datos!$A$1:$H$256,4,FALSE)</f>
        <v>#N/A</v>
      </c>
      <c r="C209" s="12" t="e">
        <f>VLOOKUP(D209,Datos!$A$1:$H$256,5,FALSE)</f>
        <v>#N/A</v>
      </c>
      <c r="D209" s="4">
        <v>61287243</v>
      </c>
      <c r="E209" s="12" t="e">
        <f>VLOOKUP(D209,Datos!$A$1:$H$256,6,FALSE)</f>
        <v>#N/A</v>
      </c>
      <c r="F209" s="12" t="e">
        <f>VLOOKUP(D209,Datos!$A$1:$H$256,7,FALSE)</f>
        <v>#N/A</v>
      </c>
      <c r="G209" s="12" t="e">
        <f>VLOOKUP(D209,Datos!$A$1:$H$256,8,FALSE)</f>
        <v>#N/A</v>
      </c>
      <c r="H209" s="4" t="s">
        <v>39</v>
      </c>
      <c r="I209" s="4" t="s">
        <v>100</v>
      </c>
      <c r="J209" s="12" t="s">
        <v>42</v>
      </c>
      <c r="K209" s="4" t="s">
        <v>90</v>
      </c>
      <c r="L209" s="4">
        <v>7</v>
      </c>
      <c r="M209" s="11">
        <f t="shared" si="28"/>
        <v>0.28000000000000003</v>
      </c>
      <c r="N209" s="4">
        <v>7</v>
      </c>
      <c r="O209" s="11">
        <f t="shared" si="29"/>
        <v>0.7</v>
      </c>
      <c r="P209" s="4">
        <v>14</v>
      </c>
      <c r="Q209" s="11">
        <f t="shared" si="30"/>
        <v>0.4</v>
      </c>
      <c r="R209" s="4">
        <v>8</v>
      </c>
      <c r="S209" s="11">
        <f t="shared" si="31"/>
        <v>0.26666666666666666</v>
      </c>
      <c r="T209" s="4">
        <f t="shared" si="32"/>
        <v>36</v>
      </c>
      <c r="U209" s="11">
        <f t="shared" si="33"/>
        <v>0.36</v>
      </c>
      <c r="V209" s="13" t="str">
        <f t="shared" si="34"/>
        <v>INGRESÓ</v>
      </c>
      <c r="W209" s="13" t="s">
        <v>88</v>
      </c>
      <c r="X209" s="14">
        <v>45745</v>
      </c>
      <c r="Y209" s="13" t="s">
        <v>96</v>
      </c>
      <c r="Z209" s="13" t="e">
        <f>VLOOKUP(D209,Datos!$A$1:$C$256,3,FALSE)</f>
        <v>#N/A</v>
      </c>
    </row>
    <row r="210" spans="1:26" hidden="1" x14ac:dyDescent="0.25">
      <c r="A210" s="4">
        <v>141</v>
      </c>
      <c r="B210" s="12" t="e">
        <f>VLOOKUP(D210,Datos!$A$1:$H$256,4,FALSE)</f>
        <v>#N/A</v>
      </c>
      <c r="C210" s="12" t="e">
        <f>VLOOKUP(D210,Datos!$A$1:$H$256,5,FALSE)</f>
        <v>#N/A</v>
      </c>
      <c r="D210" s="4">
        <v>71440774</v>
      </c>
      <c r="E210" s="12" t="e">
        <f>VLOOKUP(D210,Datos!$A$1:$H$256,6,FALSE)</f>
        <v>#N/A</v>
      </c>
      <c r="F210" s="12" t="e">
        <f>VLOOKUP(D210,Datos!$A$1:$H$256,7,FALSE)</f>
        <v>#N/A</v>
      </c>
      <c r="G210" s="12" t="e">
        <f>VLOOKUP(D210,Datos!$A$1:$H$256,8,FALSE)</f>
        <v>#N/A</v>
      </c>
      <c r="H210" s="4" t="s">
        <v>39</v>
      </c>
      <c r="I210" s="4" t="s">
        <v>99</v>
      </c>
      <c r="J210" s="12" t="s">
        <v>42</v>
      </c>
      <c r="K210" s="4" t="s">
        <v>90</v>
      </c>
      <c r="L210" s="4">
        <v>11</v>
      </c>
      <c r="M210" s="11">
        <f t="shared" si="28"/>
        <v>0.44</v>
      </c>
      <c r="N210" s="4">
        <v>9</v>
      </c>
      <c r="O210" s="11">
        <f t="shared" si="29"/>
        <v>0.9</v>
      </c>
      <c r="P210" s="4">
        <v>15</v>
      </c>
      <c r="Q210" s="11">
        <f t="shared" si="30"/>
        <v>0.42857142857142855</v>
      </c>
      <c r="R210" s="4">
        <v>10</v>
      </c>
      <c r="S210" s="11">
        <f t="shared" si="31"/>
        <v>0.33333333333333331</v>
      </c>
      <c r="T210" s="4">
        <f t="shared" si="32"/>
        <v>45</v>
      </c>
      <c r="U210" s="11">
        <f t="shared" si="33"/>
        <v>0.45</v>
      </c>
      <c r="V210" s="13" t="str">
        <f t="shared" si="34"/>
        <v>INGRESÓ</v>
      </c>
      <c r="W210" s="13" t="s">
        <v>88</v>
      </c>
      <c r="X210" s="14">
        <v>45745</v>
      </c>
      <c r="Y210" s="13" t="s">
        <v>96</v>
      </c>
      <c r="Z210" s="13" t="e">
        <f>VLOOKUP(D210,Datos!$A$1:$C$256,3,FALSE)</f>
        <v>#N/A</v>
      </c>
    </row>
    <row r="211" spans="1:26" hidden="1" x14ac:dyDescent="0.25">
      <c r="A211" s="4">
        <v>142</v>
      </c>
      <c r="B211" s="12" t="e">
        <f>VLOOKUP(D211,Datos!$A$1:$H$256,4,FALSE)</f>
        <v>#N/A</v>
      </c>
      <c r="C211" s="12" t="e">
        <f>VLOOKUP(D211,Datos!$A$1:$H$256,5,FALSE)</f>
        <v>#N/A</v>
      </c>
      <c r="D211" s="4">
        <v>61072662</v>
      </c>
      <c r="E211" s="12" t="e">
        <f>VLOOKUP(D211,Datos!$A$1:$H$256,6,FALSE)</f>
        <v>#N/A</v>
      </c>
      <c r="F211" s="12" t="e">
        <f>VLOOKUP(D211,Datos!$A$1:$H$256,7,FALSE)</f>
        <v>#N/A</v>
      </c>
      <c r="G211" s="12" t="e">
        <f>VLOOKUP(D211,Datos!$A$1:$H$256,8,FALSE)</f>
        <v>#N/A</v>
      </c>
      <c r="H211" s="4" t="s">
        <v>39</v>
      </c>
      <c r="I211" s="4" t="s">
        <v>34</v>
      </c>
      <c r="J211" s="12" t="s">
        <v>42</v>
      </c>
      <c r="K211" s="4" t="s">
        <v>90</v>
      </c>
      <c r="L211" s="4">
        <v>9</v>
      </c>
      <c r="M211" s="11">
        <f t="shared" si="28"/>
        <v>0.36</v>
      </c>
      <c r="N211" s="4">
        <v>8</v>
      </c>
      <c r="O211" s="11">
        <f t="shared" si="29"/>
        <v>0.8</v>
      </c>
      <c r="P211" s="4">
        <v>9</v>
      </c>
      <c r="Q211" s="11">
        <f t="shared" si="30"/>
        <v>0.25714285714285712</v>
      </c>
      <c r="R211" s="4">
        <v>3</v>
      </c>
      <c r="S211" s="11">
        <f t="shared" si="31"/>
        <v>0.1</v>
      </c>
      <c r="T211" s="4">
        <f t="shared" si="32"/>
        <v>29</v>
      </c>
      <c r="U211" s="11">
        <f t="shared" si="33"/>
        <v>0.28999999999999998</v>
      </c>
      <c r="V211" s="13" t="str">
        <f t="shared" si="34"/>
        <v>INGRESÓ</v>
      </c>
      <c r="W211" s="13" t="s">
        <v>88</v>
      </c>
      <c r="X211" s="14">
        <v>45745</v>
      </c>
      <c r="Y211" s="13" t="s">
        <v>96</v>
      </c>
      <c r="Z211" s="13" t="e">
        <f>VLOOKUP(D211,Datos!$A$1:$C$256,3,FALSE)</f>
        <v>#N/A</v>
      </c>
    </row>
    <row r="212" spans="1:26" x14ac:dyDescent="0.25">
      <c r="A212" s="4">
        <v>143</v>
      </c>
      <c r="B212" s="12" t="e">
        <f>VLOOKUP(D212,Datos!$A$1:$H$256,4,FALSE)</f>
        <v>#N/A</v>
      </c>
      <c r="C212" s="12" t="e">
        <f>VLOOKUP(D212,Datos!$A$1:$H$256,5,FALSE)</f>
        <v>#N/A</v>
      </c>
      <c r="D212" s="4">
        <v>61341967</v>
      </c>
      <c r="E212" s="12" t="e">
        <f>VLOOKUP(D212,Datos!$A$1:$H$256,6,FALSE)</f>
        <v>#N/A</v>
      </c>
      <c r="F212" s="12" t="e">
        <f>VLOOKUP(D212,Datos!$A$1:$H$256,7,FALSE)</f>
        <v>#N/A</v>
      </c>
      <c r="G212" s="12" t="e">
        <f>VLOOKUP(D212,Datos!$A$1:$H$256,8,FALSE)</f>
        <v>#N/A</v>
      </c>
      <c r="H212" s="4" t="s">
        <v>39</v>
      </c>
      <c r="I212" s="4" t="s">
        <v>30</v>
      </c>
      <c r="J212" s="12" t="s">
        <v>42</v>
      </c>
      <c r="K212" s="4" t="s">
        <v>90</v>
      </c>
      <c r="L212" s="4">
        <v>8</v>
      </c>
      <c r="M212" s="11">
        <f t="shared" si="28"/>
        <v>0.32</v>
      </c>
      <c r="N212" s="4">
        <v>7</v>
      </c>
      <c r="O212" s="11">
        <f t="shared" si="29"/>
        <v>0.7</v>
      </c>
      <c r="P212" s="4">
        <v>16</v>
      </c>
      <c r="Q212" s="11">
        <f t="shared" si="30"/>
        <v>0.45714285714285713</v>
      </c>
      <c r="R212" s="4">
        <v>9</v>
      </c>
      <c r="S212" s="11">
        <f t="shared" si="31"/>
        <v>0.3</v>
      </c>
      <c r="T212" s="4">
        <f t="shared" si="32"/>
        <v>40</v>
      </c>
      <c r="U212" s="11">
        <f t="shared" si="33"/>
        <v>0.4</v>
      </c>
      <c r="V212" s="13" t="str">
        <f t="shared" si="34"/>
        <v>INGRESÓ</v>
      </c>
      <c r="W212" s="13" t="s">
        <v>88</v>
      </c>
      <c r="X212" s="14">
        <v>45745</v>
      </c>
      <c r="Y212" s="13" t="s">
        <v>96</v>
      </c>
      <c r="Z212" s="13" t="e">
        <f>VLOOKUP(D212,Datos!$A$1:$C$256,3,FALSE)</f>
        <v>#N/A</v>
      </c>
    </row>
    <row r="213" spans="1:26" hidden="1" x14ac:dyDescent="0.25">
      <c r="A213" s="4">
        <v>144</v>
      </c>
      <c r="B213" s="12" t="e">
        <f>VLOOKUP(D213,Datos!$A$1:$H$256,4,FALSE)</f>
        <v>#N/A</v>
      </c>
      <c r="C213" s="12" t="e">
        <f>VLOOKUP(D213,Datos!$A$1:$H$256,5,FALSE)</f>
        <v>#N/A</v>
      </c>
      <c r="D213" s="4">
        <v>72811362</v>
      </c>
      <c r="E213" s="12" t="e">
        <f>VLOOKUP(D213,Datos!$A$1:$H$256,6,FALSE)</f>
        <v>#N/A</v>
      </c>
      <c r="F213" s="12" t="e">
        <f>VLOOKUP(D213,Datos!$A$1:$H$256,7,FALSE)</f>
        <v>#N/A</v>
      </c>
      <c r="G213" s="12" t="e">
        <f>VLOOKUP(D213,Datos!$A$1:$H$256,8,FALSE)</f>
        <v>#N/A</v>
      </c>
      <c r="H213" s="4" t="s">
        <v>39</v>
      </c>
      <c r="I213" s="4" t="s">
        <v>100</v>
      </c>
      <c r="J213" s="12" t="s">
        <v>42</v>
      </c>
      <c r="K213" s="4" t="s">
        <v>90</v>
      </c>
      <c r="L213" s="4">
        <v>13</v>
      </c>
      <c r="M213" s="11">
        <f t="shared" si="28"/>
        <v>0.52</v>
      </c>
      <c r="N213" s="4">
        <v>10</v>
      </c>
      <c r="O213" s="11">
        <f t="shared" si="29"/>
        <v>1</v>
      </c>
      <c r="P213" s="4">
        <v>12</v>
      </c>
      <c r="Q213" s="11">
        <f t="shared" si="30"/>
        <v>0.34285714285714286</v>
      </c>
      <c r="R213" s="4">
        <v>15</v>
      </c>
      <c r="S213" s="11">
        <f t="shared" si="31"/>
        <v>0.5</v>
      </c>
      <c r="T213" s="4">
        <f t="shared" si="32"/>
        <v>50</v>
      </c>
      <c r="U213" s="11">
        <f t="shared" si="33"/>
        <v>0.5</v>
      </c>
      <c r="V213" s="13" t="str">
        <f t="shared" si="34"/>
        <v>INGRESÓ</v>
      </c>
      <c r="W213" s="13" t="s">
        <v>88</v>
      </c>
      <c r="X213" s="14">
        <v>45745</v>
      </c>
      <c r="Y213" s="13" t="s">
        <v>96</v>
      </c>
      <c r="Z213" s="13" t="e">
        <f>VLOOKUP(D213,Datos!$A$1:$C$256,3,FALSE)</f>
        <v>#N/A</v>
      </c>
    </row>
    <row r="214" spans="1:26" hidden="1" x14ac:dyDescent="0.25">
      <c r="A214" s="4">
        <v>145</v>
      </c>
      <c r="B214" s="12" t="e">
        <f>VLOOKUP(D214,Datos!$A$1:$H$256,4,FALSE)</f>
        <v>#N/A</v>
      </c>
      <c r="C214" s="12" t="e">
        <f>VLOOKUP(D214,Datos!$A$1:$H$256,5,FALSE)</f>
        <v>#N/A</v>
      </c>
      <c r="D214" s="4">
        <v>41977106</v>
      </c>
      <c r="E214" s="12" t="e">
        <f>VLOOKUP(D214,Datos!$A$1:$H$256,6,FALSE)</f>
        <v>#N/A</v>
      </c>
      <c r="F214" s="12" t="e">
        <f>VLOOKUP(D214,Datos!$A$1:$H$256,7,FALSE)</f>
        <v>#N/A</v>
      </c>
      <c r="G214" s="12" t="e">
        <f>VLOOKUP(D214,Datos!$A$1:$H$256,8,FALSE)</f>
        <v>#N/A</v>
      </c>
      <c r="H214" s="4" t="s">
        <v>39</v>
      </c>
      <c r="I214" s="4" t="s">
        <v>99</v>
      </c>
      <c r="J214" s="12" t="s">
        <v>42</v>
      </c>
      <c r="K214" s="4" t="s">
        <v>90</v>
      </c>
      <c r="L214" s="4">
        <v>10</v>
      </c>
      <c r="M214" s="11">
        <f t="shared" si="28"/>
        <v>0.4</v>
      </c>
      <c r="N214" s="4">
        <v>9</v>
      </c>
      <c r="O214" s="11">
        <f t="shared" si="29"/>
        <v>0.9</v>
      </c>
      <c r="P214" s="4">
        <v>15</v>
      </c>
      <c r="Q214" s="11">
        <f t="shared" si="30"/>
        <v>0.42857142857142855</v>
      </c>
      <c r="R214" s="4">
        <v>12</v>
      </c>
      <c r="S214" s="11">
        <f t="shared" si="31"/>
        <v>0.4</v>
      </c>
      <c r="T214" s="4">
        <f t="shared" si="32"/>
        <v>46</v>
      </c>
      <c r="U214" s="11">
        <f t="shared" si="33"/>
        <v>0.46</v>
      </c>
      <c r="V214" s="13" t="str">
        <f t="shared" si="34"/>
        <v>INGRESÓ</v>
      </c>
      <c r="W214" s="13" t="s">
        <v>88</v>
      </c>
      <c r="X214" s="14">
        <v>45745</v>
      </c>
      <c r="Y214" s="13" t="s">
        <v>96</v>
      </c>
      <c r="Z214" s="13" t="e">
        <f>VLOOKUP(D214,Datos!$A$1:$C$256,3,FALSE)</f>
        <v>#N/A</v>
      </c>
    </row>
    <row r="215" spans="1:26" x14ac:dyDescent="0.25">
      <c r="A215" s="4">
        <v>146</v>
      </c>
      <c r="B215" s="12" t="e">
        <f>VLOOKUP(D215,Datos!$A$1:$H$256,4,FALSE)</f>
        <v>#N/A</v>
      </c>
      <c r="C215" s="12" t="e">
        <f>VLOOKUP(D215,Datos!$A$1:$H$256,5,FALSE)</f>
        <v>#N/A</v>
      </c>
      <c r="D215" s="4">
        <v>62892351</v>
      </c>
      <c r="E215" s="12" t="e">
        <f>VLOOKUP(D215,Datos!$A$1:$H$256,6,FALSE)</f>
        <v>#N/A</v>
      </c>
      <c r="F215" s="12" t="e">
        <f>VLOOKUP(D215,Datos!$A$1:$H$256,7,FALSE)</f>
        <v>#N/A</v>
      </c>
      <c r="G215" s="12" t="e">
        <f>VLOOKUP(D215,Datos!$A$1:$H$256,8,FALSE)</f>
        <v>#N/A</v>
      </c>
      <c r="H215" s="4" t="s">
        <v>39</v>
      </c>
      <c r="I215" s="4" t="s">
        <v>30</v>
      </c>
      <c r="J215" s="12" t="s">
        <v>42</v>
      </c>
      <c r="K215" s="4" t="s">
        <v>90</v>
      </c>
      <c r="L215" s="4">
        <v>8</v>
      </c>
      <c r="M215" s="11">
        <f t="shared" si="28"/>
        <v>0.32</v>
      </c>
      <c r="N215" s="4">
        <v>8</v>
      </c>
      <c r="O215" s="11">
        <f t="shared" si="29"/>
        <v>0.8</v>
      </c>
      <c r="P215" s="4">
        <v>7</v>
      </c>
      <c r="Q215" s="11">
        <f t="shared" si="30"/>
        <v>0.2</v>
      </c>
      <c r="R215" s="4">
        <v>11</v>
      </c>
      <c r="S215" s="11">
        <f t="shared" si="31"/>
        <v>0.36666666666666664</v>
      </c>
      <c r="T215" s="4">
        <f t="shared" si="32"/>
        <v>34</v>
      </c>
      <c r="U215" s="11">
        <f t="shared" si="33"/>
        <v>0.34</v>
      </c>
      <c r="V215" s="13" t="str">
        <f t="shared" si="34"/>
        <v>INGRESÓ</v>
      </c>
      <c r="W215" s="13" t="s">
        <v>88</v>
      </c>
      <c r="X215" s="14">
        <v>45745</v>
      </c>
      <c r="Y215" s="13" t="s">
        <v>96</v>
      </c>
      <c r="Z215" s="13" t="e">
        <f>VLOOKUP(D215,Datos!$A$1:$C$256,3,FALSE)</f>
        <v>#N/A</v>
      </c>
    </row>
    <row r="216" spans="1:26" hidden="1" x14ac:dyDescent="0.25">
      <c r="A216" s="4">
        <v>147</v>
      </c>
      <c r="B216" s="12" t="e">
        <f>VLOOKUP(D216,Datos!$A$1:$H$256,4,FALSE)</f>
        <v>#N/A</v>
      </c>
      <c r="C216" s="12" t="e">
        <f>VLOOKUP(D216,Datos!$A$1:$H$256,5,FALSE)</f>
        <v>#N/A</v>
      </c>
      <c r="D216" s="4">
        <v>76154275</v>
      </c>
      <c r="E216" s="12" t="e">
        <f>VLOOKUP(D216,Datos!$A$1:$H$256,6,FALSE)</f>
        <v>#N/A</v>
      </c>
      <c r="F216" s="12" t="e">
        <f>VLOOKUP(D216,Datos!$A$1:$H$256,7,FALSE)</f>
        <v>#N/A</v>
      </c>
      <c r="G216" s="12" t="e">
        <f>VLOOKUP(D216,Datos!$A$1:$H$256,8,FALSE)</f>
        <v>#N/A</v>
      </c>
      <c r="H216" s="4" t="s">
        <v>39</v>
      </c>
      <c r="I216" s="4" t="s">
        <v>99</v>
      </c>
      <c r="J216" s="12" t="s">
        <v>42</v>
      </c>
      <c r="K216" s="4" t="s">
        <v>90</v>
      </c>
      <c r="L216" s="4">
        <v>12</v>
      </c>
      <c r="M216" s="11">
        <f t="shared" si="28"/>
        <v>0.48</v>
      </c>
      <c r="N216" s="4">
        <v>10</v>
      </c>
      <c r="O216" s="11">
        <f t="shared" si="29"/>
        <v>1</v>
      </c>
      <c r="P216" s="4">
        <v>7</v>
      </c>
      <c r="Q216" s="11">
        <f t="shared" si="30"/>
        <v>0.2</v>
      </c>
      <c r="R216" s="4">
        <v>5</v>
      </c>
      <c r="S216" s="11">
        <f t="shared" si="31"/>
        <v>0.16666666666666666</v>
      </c>
      <c r="T216" s="4">
        <f t="shared" si="32"/>
        <v>34</v>
      </c>
      <c r="U216" s="11">
        <f t="shared" si="33"/>
        <v>0.34</v>
      </c>
      <c r="V216" s="13" t="str">
        <f t="shared" si="34"/>
        <v>INGRESÓ</v>
      </c>
      <c r="W216" s="13" t="s">
        <v>88</v>
      </c>
      <c r="X216" s="14">
        <v>45745</v>
      </c>
      <c r="Y216" s="13" t="s">
        <v>96</v>
      </c>
      <c r="Z216" s="13" t="e">
        <f>VLOOKUP(D216,Datos!$A$1:$C$256,3,FALSE)</f>
        <v>#N/A</v>
      </c>
    </row>
    <row r="217" spans="1:26" hidden="1" x14ac:dyDescent="0.25">
      <c r="A217" s="4">
        <v>148</v>
      </c>
      <c r="B217" s="12" t="e">
        <f>VLOOKUP(D217,Datos!$A$1:$H$256,4,FALSE)</f>
        <v>#N/A</v>
      </c>
      <c r="C217" s="12" t="e">
        <f>VLOOKUP(D217,Datos!$A$1:$H$256,5,FALSE)</f>
        <v>#N/A</v>
      </c>
      <c r="D217" s="4">
        <v>61060358</v>
      </c>
      <c r="E217" s="12" t="e">
        <f>VLOOKUP(D217,Datos!$A$1:$H$256,6,FALSE)</f>
        <v>#N/A</v>
      </c>
      <c r="F217" s="12" t="e">
        <f>VLOOKUP(D217,Datos!$A$1:$H$256,7,FALSE)</f>
        <v>#N/A</v>
      </c>
      <c r="G217" s="12" t="e">
        <f>VLOOKUP(D217,Datos!$A$1:$H$256,8,FALSE)</f>
        <v>#N/A</v>
      </c>
      <c r="H217" s="4" t="s">
        <v>39</v>
      </c>
      <c r="I217" s="4" t="s">
        <v>101</v>
      </c>
      <c r="J217" s="12" t="s">
        <v>42</v>
      </c>
      <c r="K217" s="4" t="s">
        <v>90</v>
      </c>
      <c r="L217" s="4">
        <v>11</v>
      </c>
      <c r="M217" s="11">
        <f t="shared" si="28"/>
        <v>0.44</v>
      </c>
      <c r="N217" s="4">
        <v>6</v>
      </c>
      <c r="O217" s="11">
        <f t="shared" si="29"/>
        <v>0.6</v>
      </c>
      <c r="P217" s="4">
        <v>11</v>
      </c>
      <c r="Q217" s="11">
        <f t="shared" si="30"/>
        <v>0.31428571428571428</v>
      </c>
      <c r="R217" s="4">
        <v>12</v>
      </c>
      <c r="S217" s="11">
        <f t="shared" si="31"/>
        <v>0.4</v>
      </c>
      <c r="T217" s="4">
        <f t="shared" si="32"/>
        <v>40</v>
      </c>
      <c r="U217" s="11">
        <f t="shared" si="33"/>
        <v>0.4</v>
      </c>
      <c r="V217" s="13" t="str">
        <f t="shared" si="34"/>
        <v>INGRESÓ</v>
      </c>
      <c r="W217" s="13" t="s">
        <v>88</v>
      </c>
      <c r="X217" s="14">
        <v>45745</v>
      </c>
      <c r="Y217" s="13" t="s">
        <v>96</v>
      </c>
      <c r="Z217" s="13" t="e">
        <f>VLOOKUP(D217,Datos!$A$1:$C$256,3,FALSE)</f>
        <v>#N/A</v>
      </c>
    </row>
    <row r="218" spans="1:26" hidden="1" x14ac:dyDescent="0.25">
      <c r="A218" s="4">
        <v>149</v>
      </c>
      <c r="B218" s="12" t="e">
        <f>VLOOKUP(D218,Datos!$A$1:$H$256,4,FALSE)</f>
        <v>#N/A</v>
      </c>
      <c r="C218" s="12" t="e">
        <f>VLOOKUP(D218,Datos!$A$1:$H$256,5,FALSE)</f>
        <v>#N/A</v>
      </c>
      <c r="D218" s="4">
        <v>76416313</v>
      </c>
      <c r="E218" s="12" t="e">
        <f>VLOOKUP(D218,Datos!$A$1:$H$256,6,FALSE)</f>
        <v>#N/A</v>
      </c>
      <c r="F218" s="12" t="e">
        <f>VLOOKUP(D218,Datos!$A$1:$H$256,7,FALSE)</f>
        <v>#N/A</v>
      </c>
      <c r="G218" s="12" t="e">
        <f>VLOOKUP(D218,Datos!$A$1:$H$256,8,FALSE)</f>
        <v>#N/A</v>
      </c>
      <c r="H218" s="4" t="s">
        <v>39</v>
      </c>
      <c r="I218" s="4" t="s">
        <v>27</v>
      </c>
      <c r="J218" s="12" t="s">
        <v>42</v>
      </c>
      <c r="K218" s="4" t="s">
        <v>90</v>
      </c>
      <c r="L218" s="4">
        <v>9</v>
      </c>
      <c r="M218" s="11">
        <f t="shared" si="28"/>
        <v>0.36</v>
      </c>
      <c r="N218" s="4">
        <v>9</v>
      </c>
      <c r="O218" s="11">
        <f t="shared" si="29"/>
        <v>0.9</v>
      </c>
      <c r="P218" s="4">
        <v>8</v>
      </c>
      <c r="Q218" s="11">
        <f t="shared" si="30"/>
        <v>0.22857142857142856</v>
      </c>
      <c r="R218" s="4">
        <v>8</v>
      </c>
      <c r="S218" s="11">
        <f t="shared" si="31"/>
        <v>0.26666666666666666</v>
      </c>
      <c r="T218" s="4">
        <f t="shared" si="32"/>
        <v>34</v>
      </c>
      <c r="U218" s="11">
        <f t="shared" si="33"/>
        <v>0.34</v>
      </c>
      <c r="V218" s="13" t="str">
        <f t="shared" si="34"/>
        <v>INGRESÓ</v>
      </c>
      <c r="W218" s="13" t="s">
        <v>88</v>
      </c>
      <c r="X218" s="14">
        <v>45745</v>
      </c>
      <c r="Y218" s="13" t="s">
        <v>96</v>
      </c>
      <c r="Z218" s="13" t="e">
        <f>VLOOKUP(D218,Datos!$A$1:$C$256,3,FALSE)</f>
        <v>#N/A</v>
      </c>
    </row>
    <row r="219" spans="1:26" hidden="1" x14ac:dyDescent="0.25">
      <c r="A219" s="4">
        <v>150</v>
      </c>
      <c r="B219" s="12" t="e">
        <f>VLOOKUP(D219,Datos!$A$1:$H$256,4,FALSE)</f>
        <v>#N/A</v>
      </c>
      <c r="C219" s="12" t="e">
        <f>VLOOKUP(D219,Datos!$A$1:$H$256,5,FALSE)</f>
        <v>#N/A</v>
      </c>
      <c r="D219" s="4">
        <v>45291877</v>
      </c>
      <c r="E219" s="12" t="e">
        <f>VLOOKUP(D219,Datos!$A$1:$H$256,6,FALSE)</f>
        <v>#N/A</v>
      </c>
      <c r="F219" s="12" t="e">
        <f>VLOOKUP(D219,Datos!$A$1:$H$256,7,FALSE)</f>
        <v>#N/A</v>
      </c>
      <c r="G219" s="12" t="e">
        <f>VLOOKUP(D219,Datos!$A$1:$H$256,8,FALSE)</f>
        <v>#N/A</v>
      </c>
      <c r="H219" s="4" t="s">
        <v>39</v>
      </c>
      <c r="I219" s="4" t="s">
        <v>99</v>
      </c>
      <c r="J219" s="12" t="s">
        <v>42</v>
      </c>
      <c r="K219" s="4" t="s">
        <v>90</v>
      </c>
      <c r="L219" s="4">
        <v>11</v>
      </c>
      <c r="M219" s="11">
        <f t="shared" si="28"/>
        <v>0.44</v>
      </c>
      <c r="N219" s="4">
        <v>10</v>
      </c>
      <c r="O219" s="11">
        <f t="shared" si="29"/>
        <v>1</v>
      </c>
      <c r="P219" s="4">
        <v>13</v>
      </c>
      <c r="Q219" s="11">
        <f t="shared" si="30"/>
        <v>0.37142857142857144</v>
      </c>
      <c r="R219" s="4">
        <v>8</v>
      </c>
      <c r="S219" s="11">
        <f t="shared" si="31"/>
        <v>0.26666666666666666</v>
      </c>
      <c r="T219" s="4">
        <f t="shared" si="32"/>
        <v>42</v>
      </c>
      <c r="U219" s="11">
        <f t="shared" si="33"/>
        <v>0.42</v>
      </c>
      <c r="V219" s="13" t="str">
        <f t="shared" si="34"/>
        <v>INGRESÓ</v>
      </c>
      <c r="W219" s="13" t="s">
        <v>88</v>
      </c>
      <c r="X219" s="14">
        <v>45745</v>
      </c>
      <c r="Y219" s="13" t="s">
        <v>96</v>
      </c>
      <c r="Z219" s="13" t="e">
        <f>VLOOKUP(D219,Datos!$A$1:$C$256,3,FALSE)</f>
        <v>#N/A</v>
      </c>
    </row>
    <row r="220" spans="1:26" hidden="1" x14ac:dyDescent="0.25">
      <c r="A220" s="4">
        <v>151</v>
      </c>
      <c r="B220" s="12" t="e">
        <f>VLOOKUP(D220,Datos!$A$1:$H$256,4,FALSE)</f>
        <v>#N/A</v>
      </c>
      <c r="C220" s="12" t="e">
        <f>VLOOKUP(D220,Datos!$A$1:$H$256,5,FALSE)</f>
        <v>#N/A</v>
      </c>
      <c r="D220" s="4">
        <v>75656851</v>
      </c>
      <c r="E220" s="12" t="e">
        <f>VLOOKUP(D220,Datos!$A$1:$H$256,6,FALSE)</f>
        <v>#N/A</v>
      </c>
      <c r="F220" s="12" t="e">
        <f>VLOOKUP(D220,Datos!$A$1:$H$256,7,FALSE)</f>
        <v>#N/A</v>
      </c>
      <c r="G220" s="12" t="e">
        <f>VLOOKUP(D220,Datos!$A$1:$H$256,8,FALSE)</f>
        <v>#N/A</v>
      </c>
      <c r="H220" s="4" t="s">
        <v>39</v>
      </c>
      <c r="I220" s="4" t="s">
        <v>34</v>
      </c>
      <c r="J220" s="12" t="s">
        <v>42</v>
      </c>
      <c r="K220" s="4" t="s">
        <v>90</v>
      </c>
      <c r="L220" s="4">
        <v>4</v>
      </c>
      <c r="M220" s="11">
        <f t="shared" si="28"/>
        <v>0.16</v>
      </c>
      <c r="N220" s="4">
        <v>5</v>
      </c>
      <c r="O220" s="11">
        <f t="shared" si="29"/>
        <v>0.5</v>
      </c>
      <c r="P220" s="4">
        <v>6</v>
      </c>
      <c r="Q220" s="11">
        <f t="shared" si="30"/>
        <v>0.17142857142857143</v>
      </c>
      <c r="R220" s="4">
        <v>9</v>
      </c>
      <c r="S220" s="11">
        <f t="shared" si="31"/>
        <v>0.3</v>
      </c>
      <c r="T220" s="4">
        <f t="shared" si="32"/>
        <v>24</v>
      </c>
      <c r="U220" s="11">
        <f t="shared" si="33"/>
        <v>0.24</v>
      </c>
      <c r="V220" s="13" t="str">
        <f t="shared" si="34"/>
        <v>INGRESÓ</v>
      </c>
      <c r="W220" s="13" t="s">
        <v>88</v>
      </c>
      <c r="X220" s="14">
        <v>45745</v>
      </c>
      <c r="Y220" s="13" t="s">
        <v>96</v>
      </c>
      <c r="Z220" s="13" t="e">
        <f>VLOOKUP(D220,Datos!$A$1:$C$256,3,FALSE)</f>
        <v>#N/A</v>
      </c>
    </row>
    <row r="221" spans="1:26" hidden="1" x14ac:dyDescent="0.25">
      <c r="A221" s="4">
        <v>152</v>
      </c>
      <c r="B221" s="12" t="e">
        <f>VLOOKUP(D221,Datos!$A$1:$H$256,4,FALSE)</f>
        <v>#N/A</v>
      </c>
      <c r="C221" s="12" t="e">
        <f>VLOOKUP(D221,Datos!$A$1:$H$256,5,FALSE)</f>
        <v>#N/A</v>
      </c>
      <c r="D221" s="4">
        <v>47555419</v>
      </c>
      <c r="E221" s="12" t="e">
        <f>VLOOKUP(D221,Datos!$A$1:$H$256,6,FALSE)</f>
        <v>#N/A</v>
      </c>
      <c r="F221" s="12" t="e">
        <f>VLOOKUP(D221,Datos!$A$1:$H$256,7,FALSE)</f>
        <v>#N/A</v>
      </c>
      <c r="G221" s="12" t="e">
        <f>VLOOKUP(D221,Datos!$A$1:$H$256,8,FALSE)</f>
        <v>#N/A</v>
      </c>
      <c r="H221" s="4" t="s">
        <v>39</v>
      </c>
      <c r="I221" s="4" t="s">
        <v>99</v>
      </c>
      <c r="J221" s="12" t="s">
        <v>42</v>
      </c>
      <c r="K221" s="4" t="s">
        <v>90</v>
      </c>
      <c r="L221" s="4">
        <v>10</v>
      </c>
      <c r="M221" s="11">
        <f t="shared" si="28"/>
        <v>0.4</v>
      </c>
      <c r="N221" s="4">
        <v>9</v>
      </c>
      <c r="O221" s="11">
        <f t="shared" si="29"/>
        <v>0.9</v>
      </c>
      <c r="P221" s="4">
        <v>15</v>
      </c>
      <c r="Q221" s="11">
        <f t="shared" si="30"/>
        <v>0.42857142857142855</v>
      </c>
      <c r="R221" s="4">
        <v>10</v>
      </c>
      <c r="S221" s="11">
        <f t="shared" si="31"/>
        <v>0.33333333333333331</v>
      </c>
      <c r="T221" s="4">
        <f t="shared" si="32"/>
        <v>44</v>
      </c>
      <c r="U221" s="11">
        <f t="shared" si="33"/>
        <v>0.44</v>
      </c>
      <c r="V221" s="13" t="str">
        <f t="shared" si="34"/>
        <v>INGRESÓ</v>
      </c>
      <c r="W221" s="13" t="s">
        <v>88</v>
      </c>
      <c r="X221" s="14">
        <v>45745</v>
      </c>
      <c r="Y221" s="13" t="s">
        <v>96</v>
      </c>
      <c r="Z221" s="13" t="e">
        <f>VLOOKUP(D221,Datos!$A$1:$C$256,3,FALSE)</f>
        <v>#N/A</v>
      </c>
    </row>
    <row r="222" spans="1:26" x14ac:dyDescent="0.25">
      <c r="A222" s="4">
        <v>153</v>
      </c>
      <c r="B222" s="12" t="e">
        <f>VLOOKUP(D222,Datos!$A$1:$H$256,4,FALSE)</f>
        <v>#N/A</v>
      </c>
      <c r="C222" s="12" t="e">
        <f>VLOOKUP(D222,Datos!$A$1:$H$256,5,FALSE)</f>
        <v>#N/A</v>
      </c>
      <c r="D222" s="4">
        <v>71969011</v>
      </c>
      <c r="E222" s="12" t="e">
        <f>VLOOKUP(D222,Datos!$A$1:$H$256,6,FALSE)</f>
        <v>#N/A</v>
      </c>
      <c r="F222" s="12" t="e">
        <f>VLOOKUP(D222,Datos!$A$1:$H$256,7,FALSE)</f>
        <v>#N/A</v>
      </c>
      <c r="G222" s="12" t="e">
        <f>VLOOKUP(D222,Datos!$A$1:$H$256,8,FALSE)</f>
        <v>#N/A</v>
      </c>
      <c r="H222" s="4" t="s">
        <v>39</v>
      </c>
      <c r="I222" s="4" t="s">
        <v>30</v>
      </c>
      <c r="J222" s="12" t="s">
        <v>42</v>
      </c>
      <c r="K222" s="4" t="s">
        <v>90</v>
      </c>
      <c r="L222" s="4">
        <v>12</v>
      </c>
      <c r="M222" s="11">
        <f t="shared" si="28"/>
        <v>0.48</v>
      </c>
      <c r="N222" s="4">
        <v>8</v>
      </c>
      <c r="O222" s="11">
        <f t="shared" si="29"/>
        <v>0.8</v>
      </c>
      <c r="P222" s="4">
        <v>17</v>
      </c>
      <c r="Q222" s="11">
        <f t="shared" si="30"/>
        <v>0.48571428571428571</v>
      </c>
      <c r="R222" s="4">
        <v>15</v>
      </c>
      <c r="S222" s="11">
        <f t="shared" si="31"/>
        <v>0.5</v>
      </c>
      <c r="T222" s="4">
        <f t="shared" si="32"/>
        <v>52</v>
      </c>
      <c r="U222" s="11">
        <f t="shared" si="33"/>
        <v>0.52</v>
      </c>
      <c r="V222" s="13" t="str">
        <f t="shared" si="34"/>
        <v>INGRESÓ</v>
      </c>
      <c r="W222" s="13" t="s">
        <v>88</v>
      </c>
      <c r="X222" s="14">
        <v>45745</v>
      </c>
      <c r="Y222" s="13" t="s">
        <v>96</v>
      </c>
      <c r="Z222" s="13" t="e">
        <f>VLOOKUP(D222,Datos!$A$1:$C$256,3,FALSE)</f>
        <v>#N/A</v>
      </c>
    </row>
    <row r="223" spans="1:26" hidden="1" x14ac:dyDescent="0.25">
      <c r="A223" s="4">
        <v>154</v>
      </c>
      <c r="B223" s="12" t="e">
        <f>VLOOKUP(D223,Datos!$A$1:$H$256,4,FALSE)</f>
        <v>#N/A</v>
      </c>
      <c r="C223" s="12" t="e">
        <f>VLOOKUP(D223,Datos!$A$1:$H$256,5,FALSE)</f>
        <v>#N/A</v>
      </c>
      <c r="D223" s="4">
        <v>46730720</v>
      </c>
      <c r="E223" s="12" t="e">
        <f>VLOOKUP(D223,Datos!$A$1:$H$256,6,FALSE)</f>
        <v>#N/A</v>
      </c>
      <c r="F223" s="12" t="e">
        <f>VLOOKUP(D223,Datos!$A$1:$H$256,7,FALSE)</f>
        <v>#N/A</v>
      </c>
      <c r="G223" s="12" t="e">
        <f>VLOOKUP(D223,Datos!$A$1:$H$256,8,FALSE)</f>
        <v>#N/A</v>
      </c>
      <c r="H223" s="4" t="s">
        <v>39</v>
      </c>
      <c r="I223" s="4" t="s">
        <v>99</v>
      </c>
      <c r="J223" s="12" t="s">
        <v>42</v>
      </c>
      <c r="K223" s="4" t="s">
        <v>90</v>
      </c>
      <c r="L223" s="4">
        <v>9</v>
      </c>
      <c r="M223" s="11">
        <f t="shared" si="28"/>
        <v>0.36</v>
      </c>
      <c r="N223" s="4">
        <v>8</v>
      </c>
      <c r="O223" s="11">
        <f t="shared" si="29"/>
        <v>0.8</v>
      </c>
      <c r="P223" s="4">
        <v>6</v>
      </c>
      <c r="Q223" s="11">
        <f t="shared" si="30"/>
        <v>0.17142857142857143</v>
      </c>
      <c r="R223" s="4">
        <v>5</v>
      </c>
      <c r="S223" s="11">
        <f t="shared" si="31"/>
        <v>0.16666666666666666</v>
      </c>
      <c r="T223" s="4">
        <f t="shared" si="32"/>
        <v>28</v>
      </c>
      <c r="U223" s="11">
        <f t="shared" si="33"/>
        <v>0.28000000000000003</v>
      </c>
      <c r="V223" s="13" t="str">
        <f t="shared" si="34"/>
        <v>INGRESÓ</v>
      </c>
      <c r="W223" s="13" t="s">
        <v>88</v>
      </c>
      <c r="X223" s="14">
        <v>45745</v>
      </c>
      <c r="Y223" s="13" t="s">
        <v>96</v>
      </c>
      <c r="Z223" s="13" t="e">
        <f>VLOOKUP(D223,Datos!$A$1:$C$256,3,FALSE)</f>
        <v>#N/A</v>
      </c>
    </row>
    <row r="224" spans="1:26" hidden="1" x14ac:dyDescent="0.25">
      <c r="A224" s="4">
        <v>155</v>
      </c>
      <c r="B224" s="12" t="e">
        <f>VLOOKUP(D224,Datos!$A$1:$H$256,4,FALSE)</f>
        <v>#N/A</v>
      </c>
      <c r="C224" s="12" t="e">
        <f>VLOOKUP(D224,Datos!$A$1:$H$256,5,FALSE)</f>
        <v>#N/A</v>
      </c>
      <c r="D224" s="4">
        <v>76377641</v>
      </c>
      <c r="E224" s="12" t="e">
        <f>VLOOKUP(D224,Datos!$A$1:$H$256,6,FALSE)</f>
        <v>#N/A</v>
      </c>
      <c r="F224" s="12" t="e">
        <f>VLOOKUP(D224,Datos!$A$1:$H$256,7,FALSE)</f>
        <v>#N/A</v>
      </c>
      <c r="G224" s="12" t="e">
        <f>VLOOKUP(D224,Datos!$A$1:$H$256,8,FALSE)</f>
        <v>#N/A</v>
      </c>
      <c r="H224" s="4" t="s">
        <v>39</v>
      </c>
      <c r="I224" s="4" t="s">
        <v>27</v>
      </c>
      <c r="J224" s="12" t="s">
        <v>42</v>
      </c>
      <c r="K224" s="4" t="s">
        <v>90</v>
      </c>
      <c r="L224" s="4">
        <v>12</v>
      </c>
      <c r="M224" s="11">
        <f t="shared" si="28"/>
        <v>0.48</v>
      </c>
      <c r="N224" s="4">
        <v>7</v>
      </c>
      <c r="O224" s="11">
        <f t="shared" si="29"/>
        <v>0.7</v>
      </c>
      <c r="P224" s="4">
        <v>11</v>
      </c>
      <c r="Q224" s="11">
        <f t="shared" si="30"/>
        <v>0.31428571428571428</v>
      </c>
      <c r="R224" s="4">
        <v>7</v>
      </c>
      <c r="S224" s="11">
        <f t="shared" si="31"/>
        <v>0.23333333333333334</v>
      </c>
      <c r="T224" s="4">
        <f t="shared" si="32"/>
        <v>37</v>
      </c>
      <c r="U224" s="11">
        <f t="shared" si="33"/>
        <v>0.37</v>
      </c>
      <c r="V224" s="13" t="str">
        <f t="shared" si="34"/>
        <v>INGRESÓ</v>
      </c>
      <c r="W224" s="13" t="s">
        <v>88</v>
      </c>
      <c r="X224" s="14">
        <v>45745</v>
      </c>
      <c r="Y224" s="13" t="s">
        <v>96</v>
      </c>
      <c r="Z224" s="13" t="e">
        <f>VLOOKUP(D224,Datos!$A$1:$C$256,3,FALSE)</f>
        <v>#N/A</v>
      </c>
    </row>
    <row r="225" spans="1:26" hidden="1" x14ac:dyDescent="0.25">
      <c r="A225" s="4">
        <v>156</v>
      </c>
      <c r="B225" s="12" t="e">
        <f>VLOOKUP(D225,Datos!$A$1:$H$256,4,FALSE)</f>
        <v>#N/A</v>
      </c>
      <c r="C225" s="12" t="e">
        <f>VLOOKUP(D225,Datos!$A$1:$H$256,5,FALSE)</f>
        <v>#N/A</v>
      </c>
      <c r="D225" s="4">
        <v>72622385</v>
      </c>
      <c r="E225" s="12" t="e">
        <f>VLOOKUP(D225,Datos!$A$1:$H$256,6,FALSE)</f>
        <v>#N/A</v>
      </c>
      <c r="F225" s="12" t="e">
        <f>VLOOKUP(D225,Datos!$A$1:$H$256,7,FALSE)</f>
        <v>#N/A</v>
      </c>
      <c r="G225" s="12" t="e">
        <f>VLOOKUP(D225,Datos!$A$1:$H$256,8,FALSE)</f>
        <v>#N/A</v>
      </c>
      <c r="H225" s="4" t="s">
        <v>39</v>
      </c>
      <c r="I225" s="4" t="s">
        <v>99</v>
      </c>
      <c r="J225" s="12" t="s">
        <v>42</v>
      </c>
      <c r="K225" s="4" t="s">
        <v>90</v>
      </c>
      <c r="L225" s="4">
        <v>15</v>
      </c>
      <c r="M225" s="11">
        <f t="shared" si="28"/>
        <v>0.6</v>
      </c>
      <c r="N225" s="4">
        <v>6</v>
      </c>
      <c r="O225" s="11">
        <f t="shared" si="29"/>
        <v>0.6</v>
      </c>
      <c r="P225" s="4">
        <v>9</v>
      </c>
      <c r="Q225" s="11">
        <f t="shared" si="30"/>
        <v>0.25714285714285712</v>
      </c>
      <c r="R225" s="4">
        <v>10</v>
      </c>
      <c r="S225" s="11">
        <f t="shared" si="31"/>
        <v>0.33333333333333331</v>
      </c>
      <c r="T225" s="4">
        <f t="shared" si="32"/>
        <v>40</v>
      </c>
      <c r="U225" s="11">
        <f t="shared" si="33"/>
        <v>0.4</v>
      </c>
      <c r="V225" s="13" t="str">
        <f t="shared" si="34"/>
        <v>INGRESÓ</v>
      </c>
      <c r="W225" s="13" t="s">
        <v>88</v>
      </c>
      <c r="X225" s="14">
        <v>45745</v>
      </c>
      <c r="Y225" s="13" t="s">
        <v>96</v>
      </c>
      <c r="Z225" s="13" t="e">
        <f>VLOOKUP(D225,Datos!$A$1:$C$256,3,FALSE)</f>
        <v>#N/A</v>
      </c>
    </row>
    <row r="226" spans="1:26" hidden="1" x14ac:dyDescent="0.25">
      <c r="A226" s="4">
        <v>157</v>
      </c>
      <c r="B226" s="12" t="e">
        <f>VLOOKUP(D226,Datos!$A$1:$H$256,4,FALSE)</f>
        <v>#N/A</v>
      </c>
      <c r="C226" s="12" t="e">
        <f>VLOOKUP(D226,Datos!$A$1:$H$256,5,FALSE)</f>
        <v>#N/A</v>
      </c>
      <c r="D226" s="4">
        <v>47597164</v>
      </c>
      <c r="E226" s="12" t="e">
        <f>VLOOKUP(D226,Datos!$A$1:$H$256,6,FALSE)</f>
        <v>#N/A</v>
      </c>
      <c r="F226" s="12" t="e">
        <f>VLOOKUP(D226,Datos!$A$1:$H$256,7,FALSE)</f>
        <v>#N/A</v>
      </c>
      <c r="G226" s="12" t="e">
        <f>VLOOKUP(D226,Datos!$A$1:$H$256,8,FALSE)</f>
        <v>#N/A</v>
      </c>
      <c r="H226" s="4" t="s">
        <v>39</v>
      </c>
      <c r="I226" s="4" t="s">
        <v>99</v>
      </c>
      <c r="J226" s="12" t="s">
        <v>42</v>
      </c>
      <c r="K226" s="4" t="s">
        <v>90</v>
      </c>
      <c r="L226" s="4">
        <v>15</v>
      </c>
      <c r="M226" s="11">
        <f t="shared" si="28"/>
        <v>0.6</v>
      </c>
      <c r="N226" s="4">
        <v>9</v>
      </c>
      <c r="O226" s="11">
        <f t="shared" si="29"/>
        <v>0.9</v>
      </c>
      <c r="P226" s="4">
        <v>19</v>
      </c>
      <c r="Q226" s="11">
        <f t="shared" si="30"/>
        <v>0.54285714285714282</v>
      </c>
      <c r="R226" s="4">
        <v>11</v>
      </c>
      <c r="S226" s="11">
        <f t="shared" si="31"/>
        <v>0.36666666666666664</v>
      </c>
      <c r="T226" s="4">
        <f t="shared" si="32"/>
        <v>54</v>
      </c>
      <c r="U226" s="11">
        <f t="shared" si="33"/>
        <v>0.54</v>
      </c>
      <c r="V226" s="13" t="str">
        <f t="shared" si="34"/>
        <v>INGRESÓ</v>
      </c>
      <c r="W226" s="13" t="s">
        <v>88</v>
      </c>
      <c r="X226" s="14">
        <v>45745</v>
      </c>
      <c r="Y226" s="13" t="s">
        <v>96</v>
      </c>
      <c r="Z226" s="13" t="e">
        <f>VLOOKUP(D226,Datos!$A$1:$C$256,3,FALSE)</f>
        <v>#N/A</v>
      </c>
    </row>
    <row r="227" spans="1:26" x14ac:dyDescent="0.25">
      <c r="A227" s="4">
        <v>158</v>
      </c>
      <c r="B227" s="12" t="e">
        <f>VLOOKUP(D227,Datos!$A$1:$H$256,4,FALSE)</f>
        <v>#N/A</v>
      </c>
      <c r="C227" s="12" t="e">
        <f>VLOOKUP(D227,Datos!$A$1:$H$256,5,FALSE)</f>
        <v>#N/A</v>
      </c>
      <c r="D227" s="4">
        <v>71674586</v>
      </c>
      <c r="E227" s="12" t="e">
        <f>VLOOKUP(D227,Datos!$A$1:$H$256,6,FALSE)</f>
        <v>#N/A</v>
      </c>
      <c r="F227" s="12" t="e">
        <f>VLOOKUP(D227,Datos!$A$1:$H$256,7,FALSE)</f>
        <v>#N/A</v>
      </c>
      <c r="G227" s="12" t="e">
        <f>VLOOKUP(D227,Datos!$A$1:$H$256,8,FALSE)</f>
        <v>#N/A</v>
      </c>
      <c r="H227" s="4" t="s">
        <v>39</v>
      </c>
      <c r="I227" s="4" t="s">
        <v>30</v>
      </c>
      <c r="J227" s="12" t="s">
        <v>42</v>
      </c>
      <c r="K227" s="4" t="s">
        <v>90</v>
      </c>
      <c r="L227" s="4">
        <v>6</v>
      </c>
      <c r="M227" s="11">
        <f t="shared" si="28"/>
        <v>0.24</v>
      </c>
      <c r="N227" s="4">
        <v>8</v>
      </c>
      <c r="O227" s="11">
        <f t="shared" si="29"/>
        <v>0.8</v>
      </c>
      <c r="P227" s="4">
        <v>4</v>
      </c>
      <c r="Q227" s="11">
        <f t="shared" si="30"/>
        <v>0.11428571428571428</v>
      </c>
      <c r="R227" s="4">
        <v>4</v>
      </c>
      <c r="S227" s="11">
        <f t="shared" si="31"/>
        <v>0.13333333333333333</v>
      </c>
      <c r="T227" s="4">
        <f t="shared" si="32"/>
        <v>22</v>
      </c>
      <c r="U227" s="11">
        <f t="shared" si="33"/>
        <v>0.22</v>
      </c>
      <c r="V227" s="13" t="str">
        <f t="shared" si="34"/>
        <v>INGRESÓ</v>
      </c>
      <c r="W227" s="13" t="s">
        <v>88</v>
      </c>
      <c r="X227" s="14">
        <v>45745</v>
      </c>
      <c r="Y227" s="13" t="s">
        <v>96</v>
      </c>
      <c r="Z227" s="13" t="e">
        <f>VLOOKUP(D227,Datos!$A$1:$C$256,3,FALSE)</f>
        <v>#N/A</v>
      </c>
    </row>
    <row r="228" spans="1:26" x14ac:dyDescent="0.25">
      <c r="A228" s="4">
        <v>159</v>
      </c>
      <c r="B228" s="12" t="e">
        <f>VLOOKUP(D228,Datos!$A$1:$H$256,4,FALSE)</f>
        <v>#N/A</v>
      </c>
      <c r="C228" s="12" t="e">
        <f>VLOOKUP(D228,Datos!$A$1:$H$256,5,FALSE)</f>
        <v>#N/A</v>
      </c>
      <c r="D228" s="4">
        <v>60371603</v>
      </c>
      <c r="E228" s="12" t="e">
        <f>VLOOKUP(D228,Datos!$A$1:$H$256,6,FALSE)</f>
        <v>#N/A</v>
      </c>
      <c r="F228" s="12" t="e">
        <f>VLOOKUP(D228,Datos!$A$1:$H$256,7,FALSE)</f>
        <v>#N/A</v>
      </c>
      <c r="G228" s="12" t="e">
        <f>VLOOKUP(D228,Datos!$A$1:$H$256,8,FALSE)</f>
        <v>#N/A</v>
      </c>
      <c r="H228" s="4" t="s">
        <v>39</v>
      </c>
      <c r="I228" s="4" t="s">
        <v>30</v>
      </c>
      <c r="J228" s="12" t="s">
        <v>42</v>
      </c>
      <c r="K228" s="4" t="s">
        <v>90</v>
      </c>
      <c r="L228" s="4">
        <v>5</v>
      </c>
      <c r="M228" s="11">
        <f t="shared" si="28"/>
        <v>0.2</v>
      </c>
      <c r="N228" s="4">
        <v>7</v>
      </c>
      <c r="O228" s="11">
        <f t="shared" si="29"/>
        <v>0.7</v>
      </c>
      <c r="P228" s="4">
        <v>9</v>
      </c>
      <c r="Q228" s="11">
        <f t="shared" si="30"/>
        <v>0.25714285714285712</v>
      </c>
      <c r="R228" s="4">
        <v>9</v>
      </c>
      <c r="S228" s="11">
        <f t="shared" si="31"/>
        <v>0.3</v>
      </c>
      <c r="T228" s="4">
        <f t="shared" si="32"/>
        <v>30</v>
      </c>
      <c r="U228" s="11">
        <f t="shared" si="33"/>
        <v>0.3</v>
      </c>
      <c r="V228" s="13" t="str">
        <f t="shared" si="34"/>
        <v>INGRESÓ</v>
      </c>
      <c r="W228" s="13" t="s">
        <v>88</v>
      </c>
      <c r="X228" s="14">
        <v>45745</v>
      </c>
      <c r="Y228" s="13" t="s">
        <v>96</v>
      </c>
      <c r="Z228" s="13" t="e">
        <f>VLOOKUP(D228,Datos!$A$1:$C$256,3,FALSE)</f>
        <v>#N/A</v>
      </c>
    </row>
    <row r="229" spans="1:26" hidden="1" x14ac:dyDescent="0.25">
      <c r="A229" s="4">
        <v>160</v>
      </c>
      <c r="B229" s="12" t="e">
        <f>VLOOKUP(D229,Datos!$A$1:$H$256,4,FALSE)</f>
        <v>#N/A</v>
      </c>
      <c r="C229" s="12" t="e">
        <f>VLOOKUP(D229,Datos!$A$1:$H$256,5,FALSE)</f>
        <v>#N/A</v>
      </c>
      <c r="D229" s="4">
        <v>62172944</v>
      </c>
      <c r="E229" s="12" t="e">
        <f>VLOOKUP(D229,Datos!$A$1:$H$256,6,FALSE)</f>
        <v>#N/A</v>
      </c>
      <c r="F229" s="12" t="e">
        <f>VLOOKUP(D229,Datos!$A$1:$H$256,7,FALSE)</f>
        <v>#N/A</v>
      </c>
      <c r="G229" s="12" t="e">
        <f>VLOOKUP(D229,Datos!$A$1:$H$256,8,FALSE)</f>
        <v>#N/A</v>
      </c>
      <c r="H229" s="4" t="s">
        <v>39</v>
      </c>
      <c r="I229" s="4" t="s">
        <v>99</v>
      </c>
      <c r="J229" s="12" t="s">
        <v>42</v>
      </c>
      <c r="K229" s="4" t="s">
        <v>90</v>
      </c>
      <c r="L229" s="4">
        <v>7</v>
      </c>
      <c r="M229" s="11">
        <f t="shared" si="28"/>
        <v>0.28000000000000003</v>
      </c>
      <c r="N229" s="4">
        <v>9</v>
      </c>
      <c r="O229" s="11">
        <f t="shared" si="29"/>
        <v>0.9</v>
      </c>
      <c r="P229" s="4">
        <v>10</v>
      </c>
      <c r="Q229" s="11">
        <f t="shared" si="30"/>
        <v>0.2857142857142857</v>
      </c>
      <c r="R229" s="4">
        <v>5</v>
      </c>
      <c r="S229" s="11">
        <f t="shared" si="31"/>
        <v>0.16666666666666666</v>
      </c>
      <c r="T229" s="4">
        <f t="shared" si="32"/>
        <v>31</v>
      </c>
      <c r="U229" s="11">
        <f t="shared" si="33"/>
        <v>0.31</v>
      </c>
      <c r="V229" s="13" t="str">
        <f t="shared" si="34"/>
        <v>INGRESÓ</v>
      </c>
      <c r="W229" s="13" t="s">
        <v>88</v>
      </c>
      <c r="X229" s="14">
        <v>45745</v>
      </c>
      <c r="Y229" s="13" t="s">
        <v>96</v>
      </c>
      <c r="Z229" s="13" t="e">
        <f>VLOOKUP(D229,Datos!$A$1:$C$256,3,FALSE)</f>
        <v>#N/A</v>
      </c>
    </row>
    <row r="230" spans="1:26" hidden="1" x14ac:dyDescent="0.25">
      <c r="A230" s="4">
        <v>161</v>
      </c>
      <c r="B230" s="12" t="e">
        <f>VLOOKUP(D230,Datos!$A$1:$H$256,4,FALSE)</f>
        <v>#N/A</v>
      </c>
      <c r="C230" s="12" t="e">
        <f>VLOOKUP(D230,Datos!$A$1:$H$256,5,FALSE)</f>
        <v>#N/A</v>
      </c>
      <c r="D230" s="4">
        <v>61545667</v>
      </c>
      <c r="E230" s="12" t="e">
        <f>VLOOKUP(D230,Datos!$A$1:$H$256,6,FALSE)</f>
        <v>#N/A</v>
      </c>
      <c r="F230" s="12" t="e">
        <f>VLOOKUP(D230,Datos!$A$1:$H$256,7,FALSE)</f>
        <v>#N/A</v>
      </c>
      <c r="G230" s="12" t="e">
        <f>VLOOKUP(D230,Datos!$A$1:$H$256,8,FALSE)</f>
        <v>#N/A</v>
      </c>
      <c r="H230" s="4" t="s">
        <v>39</v>
      </c>
      <c r="I230" s="4" t="s">
        <v>99</v>
      </c>
      <c r="J230" s="12" t="s">
        <v>42</v>
      </c>
      <c r="K230" s="4" t="s">
        <v>90</v>
      </c>
      <c r="L230" s="4">
        <v>10</v>
      </c>
      <c r="M230" s="11">
        <f t="shared" si="28"/>
        <v>0.4</v>
      </c>
      <c r="N230" s="4">
        <v>2</v>
      </c>
      <c r="O230" s="11">
        <f t="shared" si="29"/>
        <v>0.2</v>
      </c>
      <c r="P230" s="4">
        <v>6</v>
      </c>
      <c r="Q230" s="11">
        <f t="shared" si="30"/>
        <v>0.17142857142857143</v>
      </c>
      <c r="R230" s="4">
        <v>12</v>
      </c>
      <c r="S230" s="11">
        <f t="shared" si="31"/>
        <v>0.4</v>
      </c>
      <c r="T230" s="4">
        <f t="shared" si="32"/>
        <v>30</v>
      </c>
      <c r="U230" s="11">
        <f t="shared" si="33"/>
        <v>0.3</v>
      </c>
      <c r="V230" s="13" t="str">
        <f t="shared" si="34"/>
        <v>INGRESÓ</v>
      </c>
      <c r="W230" s="13" t="s">
        <v>88</v>
      </c>
      <c r="X230" s="14">
        <v>45745</v>
      </c>
      <c r="Y230" s="13" t="s">
        <v>96</v>
      </c>
      <c r="Z230" s="13" t="e">
        <f>VLOOKUP(D230,Datos!$A$1:$C$256,3,FALSE)</f>
        <v>#N/A</v>
      </c>
    </row>
    <row r="231" spans="1:26" hidden="1" x14ac:dyDescent="0.25">
      <c r="A231" s="4">
        <v>162</v>
      </c>
      <c r="B231" s="12" t="e">
        <f>VLOOKUP(D231,Datos!$A$1:$H$256,4,FALSE)</f>
        <v>#N/A</v>
      </c>
      <c r="C231" s="12" t="e">
        <f>VLOOKUP(D231,Datos!$A$1:$H$256,5,FALSE)</f>
        <v>#N/A</v>
      </c>
      <c r="D231" s="4">
        <v>61487139</v>
      </c>
      <c r="E231" s="12" t="e">
        <f>VLOOKUP(D231,Datos!$A$1:$H$256,6,FALSE)</f>
        <v>#N/A</v>
      </c>
      <c r="F231" s="12" t="e">
        <f>VLOOKUP(D231,Datos!$A$1:$H$256,7,FALSE)</f>
        <v>#N/A</v>
      </c>
      <c r="G231" s="12" t="e">
        <f>VLOOKUP(D231,Datos!$A$1:$H$256,8,FALSE)</f>
        <v>#N/A</v>
      </c>
      <c r="H231" s="4" t="s">
        <v>39</v>
      </c>
      <c r="I231" s="4" t="s">
        <v>101</v>
      </c>
      <c r="J231" s="12" t="s">
        <v>42</v>
      </c>
      <c r="K231" s="4" t="s">
        <v>90</v>
      </c>
      <c r="L231" s="4">
        <v>8</v>
      </c>
      <c r="M231" s="11">
        <f t="shared" si="28"/>
        <v>0.32</v>
      </c>
      <c r="N231" s="4">
        <v>6</v>
      </c>
      <c r="O231" s="11">
        <f t="shared" si="29"/>
        <v>0.6</v>
      </c>
      <c r="P231" s="4">
        <v>10</v>
      </c>
      <c r="Q231" s="11">
        <f t="shared" si="30"/>
        <v>0.2857142857142857</v>
      </c>
      <c r="R231" s="4">
        <v>10</v>
      </c>
      <c r="S231" s="11">
        <f t="shared" si="31"/>
        <v>0.33333333333333331</v>
      </c>
      <c r="T231" s="4">
        <f t="shared" si="32"/>
        <v>34</v>
      </c>
      <c r="U231" s="11">
        <f t="shared" si="33"/>
        <v>0.34</v>
      </c>
      <c r="V231" s="13" t="str">
        <f t="shared" si="34"/>
        <v>INGRESÓ</v>
      </c>
      <c r="W231" s="13" t="s">
        <v>88</v>
      </c>
      <c r="X231" s="14">
        <v>45745</v>
      </c>
      <c r="Y231" s="13" t="s">
        <v>96</v>
      </c>
      <c r="Z231" s="13" t="e">
        <f>VLOOKUP(D231,Datos!$A$1:$C$256,3,FALSE)</f>
        <v>#N/A</v>
      </c>
    </row>
    <row r="232" spans="1:26" hidden="1" x14ac:dyDescent="0.25">
      <c r="A232" s="4">
        <v>163</v>
      </c>
      <c r="B232" s="12" t="e">
        <f>VLOOKUP(D232,Datos!$A$1:$H$256,4,FALSE)</f>
        <v>#N/A</v>
      </c>
      <c r="C232" s="12" t="e">
        <f>VLOOKUP(D232,Datos!$A$1:$H$256,5,FALSE)</f>
        <v>#N/A</v>
      </c>
      <c r="D232" s="4">
        <v>60314388</v>
      </c>
      <c r="E232" s="12" t="e">
        <f>VLOOKUP(D232,Datos!$A$1:$H$256,6,FALSE)</f>
        <v>#N/A</v>
      </c>
      <c r="F232" s="12" t="e">
        <f>VLOOKUP(D232,Datos!$A$1:$H$256,7,FALSE)</f>
        <v>#N/A</v>
      </c>
      <c r="G232" s="12" t="e">
        <f>VLOOKUP(D232,Datos!$A$1:$H$256,8,FALSE)</f>
        <v>#N/A</v>
      </c>
      <c r="H232" s="4" t="s">
        <v>39</v>
      </c>
      <c r="I232" s="4" t="s">
        <v>34</v>
      </c>
      <c r="J232" s="12" t="s">
        <v>42</v>
      </c>
      <c r="K232" s="4" t="s">
        <v>90</v>
      </c>
      <c r="L232" s="4">
        <v>7</v>
      </c>
      <c r="M232" s="11">
        <f t="shared" si="28"/>
        <v>0.28000000000000003</v>
      </c>
      <c r="N232" s="4">
        <v>9</v>
      </c>
      <c r="O232" s="11">
        <f t="shared" si="29"/>
        <v>0.9</v>
      </c>
      <c r="P232" s="4">
        <v>9</v>
      </c>
      <c r="Q232" s="11">
        <f t="shared" si="30"/>
        <v>0.25714285714285712</v>
      </c>
      <c r="R232" s="4">
        <v>6</v>
      </c>
      <c r="S232" s="11">
        <f t="shared" si="31"/>
        <v>0.2</v>
      </c>
      <c r="T232" s="4">
        <f t="shared" si="32"/>
        <v>31</v>
      </c>
      <c r="U232" s="11">
        <f t="shared" si="33"/>
        <v>0.31</v>
      </c>
      <c r="V232" s="13" t="str">
        <f t="shared" si="34"/>
        <v>INGRESÓ</v>
      </c>
      <c r="W232" s="13" t="s">
        <v>88</v>
      </c>
      <c r="X232" s="14">
        <v>45745</v>
      </c>
      <c r="Y232" s="13" t="s">
        <v>96</v>
      </c>
      <c r="Z232" s="13" t="e">
        <f>VLOOKUP(D232,Datos!$A$1:$C$256,3,FALSE)</f>
        <v>#N/A</v>
      </c>
    </row>
    <row r="233" spans="1:26" hidden="1" x14ac:dyDescent="0.25">
      <c r="A233" s="4">
        <v>164</v>
      </c>
      <c r="B233" s="12" t="e">
        <f>VLOOKUP(D233,Datos!$A$1:$H$256,4,FALSE)</f>
        <v>#N/A</v>
      </c>
      <c r="C233" s="12" t="e">
        <f>VLOOKUP(D233,Datos!$A$1:$H$256,5,FALSE)</f>
        <v>#N/A</v>
      </c>
      <c r="D233" s="4">
        <v>74745162</v>
      </c>
      <c r="E233" s="12" t="e">
        <f>VLOOKUP(D233,Datos!$A$1:$H$256,6,FALSE)</f>
        <v>#N/A</v>
      </c>
      <c r="F233" s="12" t="e">
        <f>VLOOKUP(D233,Datos!$A$1:$H$256,7,FALSE)</f>
        <v>#N/A</v>
      </c>
      <c r="G233" s="12" t="e">
        <f>VLOOKUP(D233,Datos!$A$1:$H$256,8,FALSE)</f>
        <v>#N/A</v>
      </c>
      <c r="H233" s="4" t="s">
        <v>39</v>
      </c>
      <c r="I233" s="4" t="s">
        <v>99</v>
      </c>
      <c r="J233" s="12" t="s">
        <v>42</v>
      </c>
      <c r="K233" s="4" t="s">
        <v>90</v>
      </c>
      <c r="L233" s="4">
        <v>13</v>
      </c>
      <c r="M233" s="11">
        <f t="shared" si="28"/>
        <v>0.52</v>
      </c>
      <c r="N233" s="4">
        <v>9</v>
      </c>
      <c r="O233" s="11">
        <f t="shared" si="29"/>
        <v>0.9</v>
      </c>
      <c r="P233" s="4">
        <v>16</v>
      </c>
      <c r="Q233" s="11">
        <f t="shared" si="30"/>
        <v>0.45714285714285713</v>
      </c>
      <c r="R233" s="4">
        <v>11</v>
      </c>
      <c r="S233" s="11">
        <f t="shared" si="31"/>
        <v>0.36666666666666664</v>
      </c>
      <c r="T233" s="4">
        <f t="shared" si="32"/>
        <v>49</v>
      </c>
      <c r="U233" s="11">
        <f t="shared" si="33"/>
        <v>0.49</v>
      </c>
      <c r="V233" s="13" t="str">
        <f t="shared" si="34"/>
        <v>INGRESÓ</v>
      </c>
      <c r="W233" s="13" t="s">
        <v>88</v>
      </c>
      <c r="X233" s="14">
        <v>45745</v>
      </c>
      <c r="Y233" s="13" t="s">
        <v>96</v>
      </c>
      <c r="Z233" s="13" t="e">
        <f>VLOOKUP(D233,Datos!$A$1:$C$256,3,FALSE)</f>
        <v>#N/A</v>
      </c>
    </row>
    <row r="234" spans="1:26" hidden="1" x14ac:dyDescent="0.25">
      <c r="A234" s="4">
        <v>165</v>
      </c>
      <c r="B234" s="12" t="e">
        <f>VLOOKUP(D234,Datos!$A$1:$H$256,4,FALSE)</f>
        <v>#N/A</v>
      </c>
      <c r="C234" s="12" t="e">
        <f>VLOOKUP(D234,Datos!$A$1:$H$256,5,FALSE)</f>
        <v>#N/A</v>
      </c>
      <c r="D234" s="4">
        <v>77351694</v>
      </c>
      <c r="E234" s="12" t="e">
        <f>VLOOKUP(D234,Datos!$A$1:$H$256,6,FALSE)</f>
        <v>#N/A</v>
      </c>
      <c r="F234" s="12" t="e">
        <f>VLOOKUP(D234,Datos!$A$1:$H$256,7,FALSE)</f>
        <v>#N/A</v>
      </c>
      <c r="G234" s="12" t="e">
        <f>VLOOKUP(D234,Datos!$A$1:$H$256,8,FALSE)</f>
        <v>#N/A</v>
      </c>
      <c r="H234" s="4" t="s">
        <v>39</v>
      </c>
      <c r="I234" s="4" t="s">
        <v>34</v>
      </c>
      <c r="J234" s="12" t="s">
        <v>42</v>
      </c>
      <c r="K234" s="4" t="s">
        <v>90</v>
      </c>
      <c r="L234" s="4">
        <v>6</v>
      </c>
      <c r="M234" s="11">
        <f t="shared" si="28"/>
        <v>0.24</v>
      </c>
      <c r="N234" s="4">
        <v>8</v>
      </c>
      <c r="O234" s="11">
        <f t="shared" si="29"/>
        <v>0.8</v>
      </c>
      <c r="P234" s="4">
        <v>8</v>
      </c>
      <c r="Q234" s="11">
        <f t="shared" si="30"/>
        <v>0.22857142857142856</v>
      </c>
      <c r="R234" s="4">
        <v>4</v>
      </c>
      <c r="S234" s="11">
        <f t="shared" si="31"/>
        <v>0.13333333333333333</v>
      </c>
      <c r="T234" s="4">
        <f t="shared" si="32"/>
        <v>26</v>
      </c>
      <c r="U234" s="11">
        <f t="shared" si="33"/>
        <v>0.26</v>
      </c>
      <c r="V234" s="13" t="str">
        <f t="shared" si="34"/>
        <v>INGRESÓ</v>
      </c>
      <c r="W234" s="13" t="s">
        <v>88</v>
      </c>
      <c r="X234" s="14">
        <v>45745</v>
      </c>
      <c r="Y234" s="13" t="s">
        <v>96</v>
      </c>
      <c r="Z234" s="13" t="e">
        <f>VLOOKUP(D234,Datos!$A$1:$C$256,3,FALSE)</f>
        <v>#N/A</v>
      </c>
    </row>
    <row r="235" spans="1:26" hidden="1" x14ac:dyDescent="0.25">
      <c r="A235" s="4">
        <v>166</v>
      </c>
      <c r="B235" s="12" t="e">
        <f>VLOOKUP(D235,Datos!$A$1:$H$256,4,FALSE)</f>
        <v>#N/A</v>
      </c>
      <c r="C235" s="12" t="e">
        <f>VLOOKUP(D235,Datos!$A$1:$H$256,5,FALSE)</f>
        <v>#N/A</v>
      </c>
      <c r="D235" s="4">
        <v>60512056</v>
      </c>
      <c r="E235" s="12" t="e">
        <f>VLOOKUP(D235,Datos!$A$1:$H$256,6,FALSE)</f>
        <v>#N/A</v>
      </c>
      <c r="F235" s="12" t="e">
        <f>VLOOKUP(D235,Datos!$A$1:$H$256,7,FALSE)</f>
        <v>#N/A</v>
      </c>
      <c r="G235" s="12" t="e">
        <f>VLOOKUP(D235,Datos!$A$1:$H$256,8,FALSE)</f>
        <v>#N/A</v>
      </c>
      <c r="H235" s="4" t="s">
        <v>39</v>
      </c>
      <c r="I235" s="4" t="s">
        <v>34</v>
      </c>
      <c r="J235" s="12" t="s">
        <v>42</v>
      </c>
      <c r="K235" s="4" t="s">
        <v>90</v>
      </c>
      <c r="L235" s="4">
        <v>12</v>
      </c>
      <c r="M235" s="11">
        <f t="shared" si="28"/>
        <v>0.48</v>
      </c>
      <c r="N235" s="4">
        <v>9</v>
      </c>
      <c r="O235" s="11">
        <f t="shared" si="29"/>
        <v>0.9</v>
      </c>
      <c r="P235" s="4">
        <v>19</v>
      </c>
      <c r="Q235" s="11">
        <f t="shared" si="30"/>
        <v>0.54285714285714282</v>
      </c>
      <c r="R235" s="4">
        <v>7</v>
      </c>
      <c r="S235" s="11">
        <f t="shared" si="31"/>
        <v>0.23333333333333334</v>
      </c>
      <c r="T235" s="4">
        <f t="shared" si="32"/>
        <v>47</v>
      </c>
      <c r="U235" s="11">
        <f t="shared" si="33"/>
        <v>0.47</v>
      </c>
      <c r="V235" s="13" t="str">
        <f t="shared" si="34"/>
        <v>INGRESÓ</v>
      </c>
      <c r="W235" s="13" t="s">
        <v>88</v>
      </c>
      <c r="X235" s="14">
        <v>45745</v>
      </c>
      <c r="Y235" s="13" t="s">
        <v>96</v>
      </c>
      <c r="Z235" s="13" t="e">
        <f>VLOOKUP(D235,Datos!$A$1:$C$256,3,FALSE)</f>
        <v>#N/A</v>
      </c>
    </row>
    <row r="236" spans="1:26" hidden="1" x14ac:dyDescent="0.25">
      <c r="A236" s="4">
        <v>167</v>
      </c>
      <c r="B236" s="12" t="e">
        <f>VLOOKUP(D236,Datos!$A$1:$H$256,4,FALSE)</f>
        <v>#N/A</v>
      </c>
      <c r="C236" s="12" t="e">
        <f>VLOOKUP(D236,Datos!$A$1:$H$256,5,FALSE)</f>
        <v>#N/A</v>
      </c>
      <c r="D236" s="4">
        <v>61806589</v>
      </c>
      <c r="E236" s="12" t="e">
        <f>VLOOKUP(D236,Datos!$A$1:$H$256,6,FALSE)</f>
        <v>#N/A</v>
      </c>
      <c r="F236" s="12" t="e">
        <f>VLOOKUP(D236,Datos!$A$1:$H$256,7,FALSE)</f>
        <v>#N/A</v>
      </c>
      <c r="G236" s="12" t="e">
        <f>VLOOKUP(D236,Datos!$A$1:$H$256,8,FALSE)</f>
        <v>#N/A</v>
      </c>
      <c r="H236" s="4" t="s">
        <v>39</v>
      </c>
      <c r="I236" s="4" t="s">
        <v>34</v>
      </c>
      <c r="J236" s="12" t="s">
        <v>42</v>
      </c>
      <c r="K236" s="4" t="s">
        <v>90</v>
      </c>
      <c r="L236" s="4">
        <v>10</v>
      </c>
      <c r="M236" s="11">
        <f t="shared" si="28"/>
        <v>0.4</v>
      </c>
      <c r="N236" s="4">
        <v>9</v>
      </c>
      <c r="O236" s="11">
        <f t="shared" si="29"/>
        <v>0.9</v>
      </c>
      <c r="P236" s="4">
        <v>11</v>
      </c>
      <c r="Q236" s="11">
        <f t="shared" si="30"/>
        <v>0.31428571428571428</v>
      </c>
      <c r="R236" s="4">
        <v>4</v>
      </c>
      <c r="S236" s="11">
        <f t="shared" si="31"/>
        <v>0.13333333333333333</v>
      </c>
      <c r="T236" s="4">
        <f t="shared" si="32"/>
        <v>34</v>
      </c>
      <c r="U236" s="11">
        <f t="shared" si="33"/>
        <v>0.34</v>
      </c>
      <c r="V236" s="13" t="str">
        <f t="shared" si="34"/>
        <v>INGRESÓ</v>
      </c>
      <c r="W236" s="13" t="s">
        <v>88</v>
      </c>
      <c r="X236" s="14">
        <v>45745</v>
      </c>
      <c r="Y236" s="13" t="s">
        <v>96</v>
      </c>
      <c r="Z236" s="13" t="e">
        <f>VLOOKUP(D236,Datos!$A$1:$C$256,3,FALSE)</f>
        <v>#N/A</v>
      </c>
    </row>
    <row r="237" spans="1:26" hidden="1" x14ac:dyDescent="0.25">
      <c r="A237" s="4">
        <v>168</v>
      </c>
      <c r="B237" s="12" t="e">
        <f>VLOOKUP(D237,Datos!$A$1:$H$256,4,FALSE)</f>
        <v>#N/A</v>
      </c>
      <c r="C237" s="12" t="e">
        <f>VLOOKUP(D237,Datos!$A$1:$H$256,5,FALSE)</f>
        <v>#N/A</v>
      </c>
      <c r="D237" s="4">
        <v>61060516</v>
      </c>
      <c r="E237" s="12" t="e">
        <f>VLOOKUP(D237,Datos!$A$1:$H$256,6,FALSE)</f>
        <v>#N/A</v>
      </c>
      <c r="F237" s="12" t="e">
        <f>VLOOKUP(D237,Datos!$A$1:$H$256,7,FALSE)</f>
        <v>#N/A</v>
      </c>
      <c r="G237" s="12" t="e">
        <f>VLOOKUP(D237,Datos!$A$1:$H$256,8,FALSE)</f>
        <v>#N/A</v>
      </c>
      <c r="H237" s="4" t="s">
        <v>39</v>
      </c>
      <c r="I237" s="4" t="s">
        <v>34</v>
      </c>
      <c r="J237" s="12" t="s">
        <v>42</v>
      </c>
      <c r="K237" s="4" t="s">
        <v>90</v>
      </c>
      <c r="L237" s="4">
        <v>10</v>
      </c>
      <c r="M237" s="11">
        <f t="shared" si="28"/>
        <v>0.4</v>
      </c>
      <c r="N237" s="4">
        <v>9</v>
      </c>
      <c r="O237" s="11">
        <f t="shared" si="29"/>
        <v>0.9</v>
      </c>
      <c r="P237" s="4">
        <v>10</v>
      </c>
      <c r="Q237" s="11">
        <f t="shared" si="30"/>
        <v>0.2857142857142857</v>
      </c>
      <c r="R237" s="4">
        <v>12</v>
      </c>
      <c r="S237" s="11">
        <f t="shared" si="31"/>
        <v>0.4</v>
      </c>
      <c r="T237" s="4">
        <f t="shared" si="32"/>
        <v>41</v>
      </c>
      <c r="U237" s="11">
        <f t="shared" si="33"/>
        <v>0.41</v>
      </c>
      <c r="V237" s="13" t="str">
        <f t="shared" si="34"/>
        <v>INGRESÓ</v>
      </c>
      <c r="W237" s="13" t="s">
        <v>88</v>
      </c>
      <c r="X237" s="14">
        <v>45745</v>
      </c>
      <c r="Y237" s="13" t="s">
        <v>96</v>
      </c>
      <c r="Z237" s="13" t="e">
        <f>VLOOKUP(D237,Datos!$A$1:$C$256,3,FALSE)</f>
        <v>#N/A</v>
      </c>
    </row>
    <row r="238" spans="1:26" hidden="1" x14ac:dyDescent="0.25">
      <c r="A238" s="4">
        <v>169</v>
      </c>
      <c r="B238" s="12" t="e">
        <f>VLOOKUP(D238,Datos!$A$1:$H$256,4,FALSE)</f>
        <v>#N/A</v>
      </c>
      <c r="C238" s="12" t="e">
        <f>VLOOKUP(D238,Datos!$A$1:$H$256,5,FALSE)</f>
        <v>#N/A</v>
      </c>
      <c r="D238" s="4">
        <v>60071833</v>
      </c>
      <c r="E238" s="12" t="e">
        <f>VLOOKUP(D238,Datos!$A$1:$H$256,6,FALSE)</f>
        <v>#N/A</v>
      </c>
      <c r="F238" s="12" t="e">
        <f>VLOOKUP(D238,Datos!$A$1:$H$256,7,FALSE)</f>
        <v>#N/A</v>
      </c>
      <c r="G238" s="12" t="e">
        <f>VLOOKUP(D238,Datos!$A$1:$H$256,8,FALSE)</f>
        <v>#N/A</v>
      </c>
      <c r="H238" s="4" t="s">
        <v>39</v>
      </c>
      <c r="I238" s="4" t="s">
        <v>34</v>
      </c>
      <c r="J238" s="12" t="s">
        <v>42</v>
      </c>
      <c r="K238" s="4" t="s">
        <v>90</v>
      </c>
      <c r="L238" s="4">
        <v>7</v>
      </c>
      <c r="M238" s="11">
        <f t="shared" si="28"/>
        <v>0.28000000000000003</v>
      </c>
      <c r="N238" s="4">
        <v>9</v>
      </c>
      <c r="O238" s="11">
        <f t="shared" si="29"/>
        <v>0.9</v>
      </c>
      <c r="P238" s="4">
        <v>13</v>
      </c>
      <c r="Q238" s="11">
        <f t="shared" si="30"/>
        <v>0.37142857142857144</v>
      </c>
      <c r="R238" s="4">
        <v>7</v>
      </c>
      <c r="S238" s="11">
        <f t="shared" si="31"/>
        <v>0.23333333333333334</v>
      </c>
      <c r="T238" s="4">
        <f t="shared" si="32"/>
        <v>36</v>
      </c>
      <c r="U238" s="11">
        <f t="shared" si="33"/>
        <v>0.36</v>
      </c>
      <c r="V238" s="13" t="str">
        <f t="shared" si="34"/>
        <v>INGRESÓ</v>
      </c>
      <c r="W238" s="13" t="s">
        <v>88</v>
      </c>
      <c r="X238" s="14">
        <v>45745</v>
      </c>
      <c r="Y238" s="13" t="s">
        <v>96</v>
      </c>
      <c r="Z238" s="13" t="e">
        <f>VLOOKUP(D238,Datos!$A$1:$C$256,3,FALSE)</f>
        <v>#N/A</v>
      </c>
    </row>
    <row r="239" spans="1:26" hidden="1" x14ac:dyDescent="0.25">
      <c r="A239" s="4">
        <v>170</v>
      </c>
      <c r="B239" s="12" t="e">
        <f>VLOOKUP(D239,Datos!$A$1:$H$256,4,FALSE)</f>
        <v>#N/A</v>
      </c>
      <c r="C239" s="12" t="e">
        <f>VLOOKUP(D239,Datos!$A$1:$H$256,5,FALSE)</f>
        <v>#N/A</v>
      </c>
      <c r="D239" s="4">
        <v>61134899</v>
      </c>
      <c r="E239" s="12" t="e">
        <f>VLOOKUP(D239,Datos!$A$1:$H$256,6,FALSE)</f>
        <v>#N/A</v>
      </c>
      <c r="F239" s="12" t="e">
        <f>VLOOKUP(D239,Datos!$A$1:$H$256,7,FALSE)</f>
        <v>#N/A</v>
      </c>
      <c r="G239" s="12" t="e">
        <f>VLOOKUP(D239,Datos!$A$1:$H$256,8,FALSE)</f>
        <v>#N/A</v>
      </c>
      <c r="H239" s="4" t="s">
        <v>39</v>
      </c>
      <c r="I239" s="4" t="s">
        <v>34</v>
      </c>
      <c r="J239" s="12" t="s">
        <v>42</v>
      </c>
      <c r="K239" s="4" t="s">
        <v>90</v>
      </c>
      <c r="L239" s="4">
        <v>10</v>
      </c>
      <c r="M239" s="11">
        <f t="shared" si="28"/>
        <v>0.4</v>
      </c>
      <c r="N239" s="4">
        <v>8</v>
      </c>
      <c r="O239" s="11">
        <f t="shared" si="29"/>
        <v>0.8</v>
      </c>
      <c r="P239" s="4">
        <v>6</v>
      </c>
      <c r="Q239" s="11">
        <f t="shared" si="30"/>
        <v>0.17142857142857143</v>
      </c>
      <c r="R239" s="4">
        <v>7</v>
      </c>
      <c r="S239" s="11">
        <f t="shared" si="31"/>
        <v>0.23333333333333334</v>
      </c>
      <c r="T239" s="4">
        <f t="shared" si="32"/>
        <v>31</v>
      </c>
      <c r="U239" s="11">
        <f t="shared" si="33"/>
        <v>0.31</v>
      </c>
      <c r="V239" s="13" t="str">
        <f t="shared" si="34"/>
        <v>INGRESÓ</v>
      </c>
      <c r="W239" s="13" t="s">
        <v>88</v>
      </c>
      <c r="X239" s="14">
        <v>45745</v>
      </c>
      <c r="Y239" s="13" t="s">
        <v>96</v>
      </c>
      <c r="Z239" s="13" t="e">
        <f>VLOOKUP(D239,Datos!$A$1:$C$256,3,FALSE)</f>
        <v>#N/A</v>
      </c>
    </row>
    <row r="240" spans="1:26" hidden="1" x14ac:dyDescent="0.25">
      <c r="A240" s="4">
        <v>171</v>
      </c>
      <c r="B240" s="12" t="e">
        <f>VLOOKUP(D240,Datos!$A$1:$H$256,4,FALSE)</f>
        <v>#N/A</v>
      </c>
      <c r="C240" s="12" t="e">
        <f>VLOOKUP(D240,Datos!$A$1:$H$256,5,FALSE)</f>
        <v>#N/A</v>
      </c>
      <c r="D240" s="4">
        <v>74321285</v>
      </c>
      <c r="E240" s="12" t="e">
        <f>VLOOKUP(D240,Datos!$A$1:$H$256,6,FALSE)</f>
        <v>#N/A</v>
      </c>
      <c r="F240" s="12" t="e">
        <f>VLOOKUP(D240,Datos!$A$1:$H$256,7,FALSE)</f>
        <v>#N/A</v>
      </c>
      <c r="G240" s="12" t="e">
        <f>VLOOKUP(D240,Datos!$A$1:$H$256,8,FALSE)</f>
        <v>#N/A</v>
      </c>
      <c r="H240" s="4" t="s">
        <v>39</v>
      </c>
      <c r="I240" s="4" t="s">
        <v>102</v>
      </c>
      <c r="J240" s="12" t="s">
        <v>42</v>
      </c>
      <c r="K240" s="4" t="s">
        <v>90</v>
      </c>
      <c r="L240" s="4">
        <v>10</v>
      </c>
      <c r="M240" s="11">
        <f t="shared" si="28"/>
        <v>0.4</v>
      </c>
      <c r="N240" s="4">
        <v>9</v>
      </c>
      <c r="O240" s="11">
        <f t="shared" si="29"/>
        <v>0.9</v>
      </c>
      <c r="P240" s="4">
        <v>10</v>
      </c>
      <c r="Q240" s="11">
        <f t="shared" si="30"/>
        <v>0.2857142857142857</v>
      </c>
      <c r="R240" s="4">
        <v>7</v>
      </c>
      <c r="S240" s="11">
        <f t="shared" si="31"/>
        <v>0.23333333333333334</v>
      </c>
      <c r="T240" s="4">
        <f t="shared" si="32"/>
        <v>36</v>
      </c>
      <c r="U240" s="11">
        <f t="shared" si="33"/>
        <v>0.36</v>
      </c>
      <c r="V240" s="13" t="str">
        <f t="shared" si="34"/>
        <v>INGRESÓ</v>
      </c>
      <c r="W240" s="13" t="s">
        <v>88</v>
      </c>
      <c r="X240" s="14">
        <v>45745</v>
      </c>
      <c r="Y240" s="13" t="s">
        <v>96</v>
      </c>
      <c r="Z240" s="13" t="e">
        <f>VLOOKUP(D240,Datos!$A$1:$C$256,3,FALSE)</f>
        <v>#N/A</v>
      </c>
    </row>
    <row r="241" spans="1:26" hidden="1" x14ac:dyDescent="0.25">
      <c r="A241" s="4">
        <v>172</v>
      </c>
      <c r="B241" s="12" t="e">
        <f>VLOOKUP(D241,Datos!$A$1:$H$256,4,FALSE)</f>
        <v>#N/A</v>
      </c>
      <c r="C241" s="12" t="e">
        <f>VLOOKUP(D241,Datos!$A$1:$H$256,5,FALSE)</f>
        <v>#N/A</v>
      </c>
      <c r="D241" s="4">
        <v>76392840</v>
      </c>
      <c r="E241" s="12" t="e">
        <f>VLOOKUP(D241,Datos!$A$1:$H$256,6,FALSE)</f>
        <v>#N/A</v>
      </c>
      <c r="F241" s="12" t="e">
        <f>VLOOKUP(D241,Datos!$A$1:$H$256,7,FALSE)</f>
        <v>#N/A</v>
      </c>
      <c r="G241" s="12" t="e">
        <f>VLOOKUP(D241,Datos!$A$1:$H$256,8,FALSE)</f>
        <v>#N/A</v>
      </c>
      <c r="H241" s="4" t="s">
        <v>39</v>
      </c>
      <c r="I241" s="4" t="s">
        <v>99</v>
      </c>
      <c r="J241" s="12" t="s">
        <v>42</v>
      </c>
      <c r="K241" s="4" t="s">
        <v>90</v>
      </c>
      <c r="L241" s="4">
        <v>10</v>
      </c>
      <c r="M241" s="11">
        <f t="shared" si="28"/>
        <v>0.4</v>
      </c>
      <c r="N241" s="4">
        <v>8</v>
      </c>
      <c r="O241" s="11">
        <f t="shared" si="29"/>
        <v>0.8</v>
      </c>
      <c r="P241" s="4">
        <v>13</v>
      </c>
      <c r="Q241" s="11">
        <f t="shared" si="30"/>
        <v>0.37142857142857144</v>
      </c>
      <c r="R241" s="4">
        <v>6</v>
      </c>
      <c r="S241" s="11">
        <f t="shared" si="31"/>
        <v>0.2</v>
      </c>
      <c r="T241" s="4">
        <f t="shared" si="32"/>
        <v>37</v>
      </c>
      <c r="U241" s="11">
        <f t="shared" si="33"/>
        <v>0.37</v>
      </c>
      <c r="V241" s="13" t="str">
        <f t="shared" si="34"/>
        <v>INGRESÓ</v>
      </c>
      <c r="W241" s="13" t="s">
        <v>88</v>
      </c>
      <c r="X241" s="14">
        <v>45745</v>
      </c>
      <c r="Y241" s="13" t="s">
        <v>96</v>
      </c>
      <c r="Z241" s="13" t="e">
        <f>VLOOKUP(D241,Datos!$A$1:$C$256,3,FALSE)</f>
        <v>#N/A</v>
      </c>
    </row>
    <row r="242" spans="1:26" x14ac:dyDescent="0.25">
      <c r="A242" s="4">
        <v>173</v>
      </c>
      <c r="B242" s="12" t="e">
        <f>VLOOKUP(D242,Datos!$A$1:$H$256,4,FALSE)</f>
        <v>#N/A</v>
      </c>
      <c r="C242" s="12" t="e">
        <f>VLOOKUP(D242,Datos!$A$1:$H$256,5,FALSE)</f>
        <v>#N/A</v>
      </c>
      <c r="D242" s="4">
        <v>47934720</v>
      </c>
      <c r="E242" s="12" t="e">
        <f>VLOOKUP(D242,Datos!$A$1:$H$256,6,FALSE)</f>
        <v>#N/A</v>
      </c>
      <c r="F242" s="12" t="e">
        <f>VLOOKUP(D242,Datos!$A$1:$H$256,7,FALSE)</f>
        <v>#N/A</v>
      </c>
      <c r="G242" s="12" t="e">
        <f>VLOOKUP(D242,Datos!$A$1:$H$256,8,FALSE)</f>
        <v>#N/A</v>
      </c>
      <c r="H242" s="4" t="s">
        <v>39</v>
      </c>
      <c r="I242" s="4" t="s">
        <v>30</v>
      </c>
      <c r="J242" s="12" t="s">
        <v>42</v>
      </c>
      <c r="K242" s="4" t="s">
        <v>90</v>
      </c>
      <c r="L242" s="4">
        <v>5</v>
      </c>
      <c r="M242" s="11">
        <f t="shared" si="28"/>
        <v>0.2</v>
      </c>
      <c r="N242" s="4">
        <v>4</v>
      </c>
      <c r="O242" s="11">
        <f t="shared" si="29"/>
        <v>0.4</v>
      </c>
      <c r="P242" s="4">
        <v>4</v>
      </c>
      <c r="Q242" s="11">
        <f t="shared" si="30"/>
        <v>0.11428571428571428</v>
      </c>
      <c r="R242" s="4">
        <v>4</v>
      </c>
      <c r="S242" s="11">
        <f t="shared" si="31"/>
        <v>0.13333333333333333</v>
      </c>
      <c r="T242" s="4">
        <f t="shared" si="32"/>
        <v>17</v>
      </c>
      <c r="U242" s="11">
        <f t="shared" si="33"/>
        <v>0.17</v>
      </c>
      <c r="V242" s="13" t="str">
        <f t="shared" si="34"/>
        <v>INGRESÓ</v>
      </c>
      <c r="W242" s="13" t="s">
        <v>88</v>
      </c>
      <c r="X242" s="14">
        <v>45745</v>
      </c>
      <c r="Y242" s="13" t="s">
        <v>96</v>
      </c>
      <c r="Z242" s="13" t="e">
        <f>VLOOKUP(D242,Datos!$A$1:$C$256,3,FALSE)</f>
        <v>#N/A</v>
      </c>
    </row>
    <row r="243" spans="1:26" x14ac:dyDescent="0.25">
      <c r="A243" s="4">
        <v>174</v>
      </c>
      <c r="B243" s="12" t="e">
        <f>VLOOKUP(D243,Datos!$A$1:$H$256,4,FALSE)</f>
        <v>#N/A</v>
      </c>
      <c r="C243" s="12" t="e">
        <f>VLOOKUP(D243,Datos!$A$1:$H$256,5,FALSE)</f>
        <v>#N/A</v>
      </c>
      <c r="D243" s="4">
        <v>46337107</v>
      </c>
      <c r="E243" s="12" t="e">
        <f>VLOOKUP(D243,Datos!$A$1:$H$256,6,FALSE)</f>
        <v>#N/A</v>
      </c>
      <c r="F243" s="12" t="e">
        <f>VLOOKUP(D243,Datos!$A$1:$H$256,7,FALSE)</f>
        <v>#N/A</v>
      </c>
      <c r="G243" s="12" t="e">
        <f>VLOOKUP(D243,Datos!$A$1:$H$256,8,FALSE)</f>
        <v>#N/A</v>
      </c>
      <c r="H243" s="4" t="s">
        <v>39</v>
      </c>
      <c r="I243" s="4" t="s">
        <v>30</v>
      </c>
      <c r="J243" s="12" t="s">
        <v>42</v>
      </c>
      <c r="K243" s="4" t="s">
        <v>90</v>
      </c>
      <c r="L243" s="4">
        <v>11</v>
      </c>
      <c r="M243" s="11">
        <f t="shared" si="28"/>
        <v>0.44</v>
      </c>
      <c r="N243" s="4">
        <v>8</v>
      </c>
      <c r="O243" s="11">
        <f t="shared" si="29"/>
        <v>0.8</v>
      </c>
      <c r="P243" s="4">
        <v>5</v>
      </c>
      <c r="Q243" s="11">
        <f t="shared" si="30"/>
        <v>0.14285714285714285</v>
      </c>
      <c r="R243" s="4">
        <v>4</v>
      </c>
      <c r="S243" s="11">
        <f t="shared" si="31"/>
        <v>0.13333333333333333</v>
      </c>
      <c r="T243" s="4">
        <f t="shared" si="32"/>
        <v>28</v>
      </c>
      <c r="U243" s="11">
        <f t="shared" si="33"/>
        <v>0.28000000000000003</v>
      </c>
      <c r="V243" s="13" t="str">
        <f t="shared" si="34"/>
        <v>INGRESÓ</v>
      </c>
      <c r="W243" s="13" t="s">
        <v>88</v>
      </c>
      <c r="X243" s="14">
        <v>45745</v>
      </c>
      <c r="Y243" s="13" t="s">
        <v>96</v>
      </c>
      <c r="Z243" s="13" t="e">
        <f>VLOOKUP(D243,Datos!$A$1:$C$256,3,FALSE)</f>
        <v>#N/A</v>
      </c>
    </row>
    <row r="244" spans="1:26" hidden="1" x14ac:dyDescent="0.25">
      <c r="A244" s="4">
        <v>175</v>
      </c>
      <c r="B244" s="12" t="e">
        <f>VLOOKUP(D244,Datos!$A$1:$H$256,4,FALSE)</f>
        <v>#N/A</v>
      </c>
      <c r="C244" s="12" t="e">
        <f>VLOOKUP(D244,Datos!$A$1:$H$256,5,FALSE)</f>
        <v>#N/A</v>
      </c>
      <c r="D244" s="4">
        <v>73636980</v>
      </c>
      <c r="E244" s="12" t="e">
        <f>VLOOKUP(D244,Datos!$A$1:$H$256,6,FALSE)</f>
        <v>#N/A</v>
      </c>
      <c r="F244" s="12" t="e">
        <f>VLOOKUP(D244,Datos!$A$1:$H$256,7,FALSE)</f>
        <v>#N/A</v>
      </c>
      <c r="G244" s="12" t="e">
        <f>VLOOKUP(D244,Datos!$A$1:$H$256,8,FALSE)</f>
        <v>#N/A</v>
      </c>
      <c r="H244" s="4" t="s">
        <v>39</v>
      </c>
      <c r="I244" s="4" t="s">
        <v>99</v>
      </c>
      <c r="J244" s="12" t="s">
        <v>42</v>
      </c>
      <c r="K244" s="4" t="s">
        <v>90</v>
      </c>
      <c r="L244" s="4">
        <v>8</v>
      </c>
      <c r="M244" s="11">
        <f t="shared" si="28"/>
        <v>0.32</v>
      </c>
      <c r="N244" s="4">
        <v>9</v>
      </c>
      <c r="O244" s="11">
        <f t="shared" si="29"/>
        <v>0.9</v>
      </c>
      <c r="P244" s="4">
        <v>12</v>
      </c>
      <c r="Q244" s="11">
        <f t="shared" si="30"/>
        <v>0.34285714285714286</v>
      </c>
      <c r="R244" s="4">
        <v>10</v>
      </c>
      <c r="S244" s="11">
        <f t="shared" si="31"/>
        <v>0.33333333333333331</v>
      </c>
      <c r="T244" s="4">
        <f t="shared" si="32"/>
        <v>39</v>
      </c>
      <c r="U244" s="11">
        <f t="shared" si="33"/>
        <v>0.39</v>
      </c>
      <c r="V244" s="13" t="str">
        <f t="shared" si="34"/>
        <v>INGRESÓ</v>
      </c>
      <c r="W244" s="13" t="s">
        <v>88</v>
      </c>
      <c r="X244" s="14">
        <v>45745</v>
      </c>
      <c r="Y244" s="13" t="s">
        <v>96</v>
      </c>
      <c r="Z244" s="13" t="e">
        <f>VLOOKUP(D244,Datos!$A$1:$C$256,3,FALSE)</f>
        <v>#N/A</v>
      </c>
    </row>
    <row r="245" spans="1:26" hidden="1" x14ac:dyDescent="0.25">
      <c r="A245" s="4">
        <v>176</v>
      </c>
      <c r="B245" s="12" t="e">
        <f>VLOOKUP(D245,Datos!$A$1:$H$256,4,FALSE)</f>
        <v>#N/A</v>
      </c>
      <c r="C245" s="12" t="e">
        <f>VLOOKUP(D245,Datos!$A$1:$H$256,5,FALSE)</f>
        <v>#N/A</v>
      </c>
      <c r="D245" s="4">
        <v>9330094</v>
      </c>
      <c r="E245" s="12" t="e">
        <f>VLOOKUP(D245,Datos!$A$1:$H$256,6,FALSE)</f>
        <v>#N/A</v>
      </c>
      <c r="F245" s="12" t="e">
        <f>VLOOKUP(D245,Datos!$A$1:$H$256,7,FALSE)</f>
        <v>#N/A</v>
      </c>
      <c r="G245" s="12" t="e">
        <f>VLOOKUP(D245,Datos!$A$1:$H$256,8,FALSE)</f>
        <v>#N/A</v>
      </c>
      <c r="H245" s="4" t="s">
        <v>39</v>
      </c>
      <c r="I245" s="4" t="s">
        <v>99</v>
      </c>
      <c r="J245" s="12" t="s">
        <v>42</v>
      </c>
      <c r="K245" s="4" t="s">
        <v>90</v>
      </c>
      <c r="L245" s="4">
        <v>4</v>
      </c>
      <c r="M245" s="11">
        <f t="shared" si="28"/>
        <v>0.16</v>
      </c>
      <c r="N245" s="4">
        <v>3</v>
      </c>
      <c r="O245" s="11">
        <f t="shared" si="29"/>
        <v>0.3</v>
      </c>
      <c r="P245" s="4">
        <v>6</v>
      </c>
      <c r="Q245" s="11">
        <f t="shared" si="30"/>
        <v>0.17142857142857143</v>
      </c>
      <c r="R245" s="4">
        <v>7</v>
      </c>
      <c r="S245" s="11">
        <f t="shared" si="31"/>
        <v>0.23333333333333334</v>
      </c>
      <c r="T245" s="4">
        <f t="shared" si="32"/>
        <v>20</v>
      </c>
      <c r="U245" s="11">
        <f t="shared" si="33"/>
        <v>0.2</v>
      </c>
      <c r="V245" s="13" t="str">
        <f t="shared" si="34"/>
        <v>INGRESÓ</v>
      </c>
      <c r="W245" s="13" t="s">
        <v>88</v>
      </c>
      <c r="X245" s="14">
        <v>45745</v>
      </c>
      <c r="Y245" s="13" t="s">
        <v>96</v>
      </c>
      <c r="Z245" s="13" t="e">
        <f>VLOOKUP(D245,Datos!$A$1:$C$256,3,FALSE)</f>
        <v>#N/A</v>
      </c>
    </row>
    <row r="246" spans="1:26" hidden="1" x14ac:dyDescent="0.25">
      <c r="A246" s="4">
        <v>177</v>
      </c>
      <c r="B246" s="12" t="e">
        <f>VLOOKUP(D246,Datos!$A$1:$H$256,4,FALSE)</f>
        <v>#N/A</v>
      </c>
      <c r="C246" s="12" t="e">
        <f>VLOOKUP(D246,Datos!$A$1:$H$256,5,FALSE)</f>
        <v>#N/A</v>
      </c>
      <c r="D246" s="4">
        <v>6280207</v>
      </c>
      <c r="E246" s="12" t="e">
        <f>VLOOKUP(D246,Datos!$A$1:$H$256,6,FALSE)</f>
        <v>#N/A</v>
      </c>
      <c r="F246" s="12" t="e">
        <f>VLOOKUP(D246,Datos!$A$1:$H$256,7,FALSE)</f>
        <v>#N/A</v>
      </c>
      <c r="G246" s="12" t="e">
        <f>VLOOKUP(D246,Datos!$A$1:$H$256,8,FALSE)</f>
        <v>#N/A</v>
      </c>
      <c r="H246" s="4" t="s">
        <v>39</v>
      </c>
      <c r="I246" s="4" t="s">
        <v>99</v>
      </c>
      <c r="J246" s="12" t="s">
        <v>42</v>
      </c>
      <c r="K246" s="4" t="s">
        <v>90</v>
      </c>
      <c r="L246" s="4">
        <v>4</v>
      </c>
      <c r="M246" s="11">
        <f t="shared" si="28"/>
        <v>0.16</v>
      </c>
      <c r="N246" s="4">
        <v>1</v>
      </c>
      <c r="O246" s="11">
        <f t="shared" si="29"/>
        <v>0.1</v>
      </c>
      <c r="P246" s="4">
        <v>4</v>
      </c>
      <c r="Q246" s="11">
        <f t="shared" si="30"/>
        <v>0.11428571428571428</v>
      </c>
      <c r="R246" s="4">
        <v>3</v>
      </c>
      <c r="S246" s="11">
        <f t="shared" si="31"/>
        <v>0.1</v>
      </c>
      <c r="T246" s="4">
        <f t="shared" si="32"/>
        <v>12</v>
      </c>
      <c r="U246" s="11">
        <f t="shared" si="33"/>
        <v>0.12</v>
      </c>
      <c r="V246" s="13" t="str">
        <f t="shared" si="34"/>
        <v>INGRESÓ</v>
      </c>
      <c r="W246" s="13" t="s">
        <v>88</v>
      </c>
      <c r="X246" s="14">
        <v>45745</v>
      </c>
      <c r="Y246" s="13" t="s">
        <v>96</v>
      </c>
      <c r="Z246" s="13" t="e">
        <f>VLOOKUP(D246,Datos!$A$1:$C$256,3,FALSE)</f>
        <v>#N/A</v>
      </c>
    </row>
    <row r="247" spans="1:26" hidden="1" x14ac:dyDescent="0.25">
      <c r="A247" s="4">
        <v>178</v>
      </c>
      <c r="B247" s="12" t="e">
        <f>VLOOKUP(D247,Datos!$A$1:$H$256,4,FALSE)</f>
        <v>#N/A</v>
      </c>
      <c r="C247" s="12" t="e">
        <f>VLOOKUP(D247,Datos!$A$1:$H$256,5,FALSE)</f>
        <v>#N/A</v>
      </c>
      <c r="D247" s="4">
        <v>70986406</v>
      </c>
      <c r="E247" s="12" t="e">
        <f>VLOOKUP(D247,Datos!$A$1:$H$256,6,FALSE)</f>
        <v>#N/A</v>
      </c>
      <c r="F247" s="12" t="e">
        <f>VLOOKUP(D247,Datos!$A$1:$H$256,7,FALSE)</f>
        <v>#N/A</v>
      </c>
      <c r="G247" s="12" t="e">
        <f>VLOOKUP(D247,Datos!$A$1:$H$256,8,FALSE)</f>
        <v>#N/A</v>
      </c>
      <c r="H247" s="4" t="s">
        <v>39</v>
      </c>
      <c r="I247" s="4" t="s">
        <v>99</v>
      </c>
      <c r="J247" s="12" t="s">
        <v>42</v>
      </c>
      <c r="K247" s="4" t="s">
        <v>90</v>
      </c>
      <c r="L247" s="4">
        <v>9</v>
      </c>
      <c r="M247" s="11">
        <f t="shared" si="28"/>
        <v>0.36</v>
      </c>
      <c r="N247" s="4">
        <v>7</v>
      </c>
      <c r="O247" s="11">
        <f t="shared" si="29"/>
        <v>0.7</v>
      </c>
      <c r="P247" s="4">
        <v>12</v>
      </c>
      <c r="Q247" s="11">
        <f t="shared" si="30"/>
        <v>0.34285714285714286</v>
      </c>
      <c r="R247" s="4">
        <v>8</v>
      </c>
      <c r="S247" s="11">
        <f t="shared" si="31"/>
        <v>0.26666666666666666</v>
      </c>
      <c r="T247" s="4">
        <f t="shared" si="32"/>
        <v>36</v>
      </c>
      <c r="U247" s="11">
        <f t="shared" si="33"/>
        <v>0.36</v>
      </c>
      <c r="V247" s="13" t="str">
        <f t="shared" si="34"/>
        <v>INGRESÓ</v>
      </c>
      <c r="W247" s="13" t="s">
        <v>88</v>
      </c>
      <c r="X247" s="14">
        <v>45745</v>
      </c>
      <c r="Y247" s="13" t="s">
        <v>96</v>
      </c>
      <c r="Z247" s="13" t="e">
        <f>VLOOKUP(D247,Datos!$A$1:$C$256,3,FALSE)</f>
        <v>#N/A</v>
      </c>
    </row>
    <row r="248" spans="1:26" hidden="1" x14ac:dyDescent="0.25">
      <c r="A248" s="4">
        <v>179</v>
      </c>
      <c r="B248" s="12" t="e">
        <f>VLOOKUP(D248,Datos!$A$1:$H$256,4,FALSE)</f>
        <v>#N/A</v>
      </c>
      <c r="C248" s="12" t="e">
        <f>VLOOKUP(D248,Datos!$A$1:$H$256,5,FALSE)</f>
        <v>#N/A</v>
      </c>
      <c r="D248" s="4">
        <v>76575038</v>
      </c>
      <c r="E248" s="12" t="e">
        <f>VLOOKUP(D248,Datos!$A$1:$H$256,6,FALSE)</f>
        <v>#N/A</v>
      </c>
      <c r="F248" s="12" t="e">
        <f>VLOOKUP(D248,Datos!$A$1:$H$256,7,FALSE)</f>
        <v>#N/A</v>
      </c>
      <c r="G248" s="12" t="e">
        <f>VLOOKUP(D248,Datos!$A$1:$H$256,8,FALSE)</f>
        <v>#N/A</v>
      </c>
      <c r="H248" s="4" t="s">
        <v>39</v>
      </c>
      <c r="I248" s="4" t="s">
        <v>34</v>
      </c>
      <c r="J248" s="12" t="s">
        <v>42</v>
      </c>
      <c r="K248" s="4" t="s">
        <v>90</v>
      </c>
      <c r="L248" s="4">
        <v>12</v>
      </c>
      <c r="M248" s="11">
        <f t="shared" si="28"/>
        <v>0.48</v>
      </c>
      <c r="N248" s="4">
        <v>10</v>
      </c>
      <c r="O248" s="11">
        <f t="shared" si="29"/>
        <v>1</v>
      </c>
      <c r="P248" s="4">
        <v>5</v>
      </c>
      <c r="Q248" s="11">
        <f t="shared" si="30"/>
        <v>0.14285714285714285</v>
      </c>
      <c r="R248" s="4">
        <v>7</v>
      </c>
      <c r="S248" s="11">
        <f t="shared" si="31"/>
        <v>0.23333333333333334</v>
      </c>
      <c r="T248" s="4">
        <f t="shared" si="32"/>
        <v>34</v>
      </c>
      <c r="U248" s="11">
        <f t="shared" si="33"/>
        <v>0.34</v>
      </c>
      <c r="V248" s="13" t="str">
        <f t="shared" si="34"/>
        <v>INGRESÓ</v>
      </c>
      <c r="W248" s="13" t="s">
        <v>88</v>
      </c>
      <c r="X248" s="14">
        <v>45745</v>
      </c>
      <c r="Y248" s="13" t="s">
        <v>96</v>
      </c>
      <c r="Z248" s="13" t="e">
        <f>VLOOKUP(D248,Datos!$A$1:$C$256,3,FALSE)</f>
        <v>#N/A</v>
      </c>
    </row>
    <row r="249" spans="1:26" hidden="1" x14ac:dyDescent="0.25">
      <c r="A249" s="4">
        <v>180</v>
      </c>
      <c r="B249" s="12" t="e">
        <f>VLOOKUP(D249,Datos!$A$1:$H$256,4,FALSE)</f>
        <v>#N/A</v>
      </c>
      <c r="C249" s="12" t="e">
        <f>VLOOKUP(D249,Datos!$A$1:$H$256,5,FALSE)</f>
        <v>#N/A</v>
      </c>
      <c r="D249" s="4">
        <v>73195996</v>
      </c>
      <c r="E249" s="12" t="e">
        <f>VLOOKUP(D249,Datos!$A$1:$H$256,6,FALSE)</f>
        <v>#N/A</v>
      </c>
      <c r="F249" s="12" t="e">
        <f>VLOOKUP(D249,Datos!$A$1:$H$256,7,FALSE)</f>
        <v>#N/A</v>
      </c>
      <c r="G249" s="12" t="e">
        <f>VLOOKUP(D249,Datos!$A$1:$H$256,8,FALSE)</f>
        <v>#N/A</v>
      </c>
      <c r="H249" s="4" t="s">
        <v>39</v>
      </c>
      <c r="I249" s="4" t="s">
        <v>34</v>
      </c>
      <c r="J249" s="12" t="s">
        <v>42</v>
      </c>
      <c r="K249" s="4" t="s">
        <v>90</v>
      </c>
      <c r="L249" s="4">
        <v>11</v>
      </c>
      <c r="M249" s="11">
        <f t="shared" si="28"/>
        <v>0.44</v>
      </c>
      <c r="N249" s="4">
        <v>7</v>
      </c>
      <c r="O249" s="11">
        <f t="shared" si="29"/>
        <v>0.7</v>
      </c>
      <c r="P249" s="4">
        <v>7</v>
      </c>
      <c r="Q249" s="11">
        <f t="shared" si="30"/>
        <v>0.2</v>
      </c>
      <c r="R249" s="4">
        <v>8</v>
      </c>
      <c r="S249" s="11">
        <f t="shared" si="31"/>
        <v>0.26666666666666666</v>
      </c>
      <c r="T249" s="4">
        <f t="shared" si="32"/>
        <v>33</v>
      </c>
      <c r="U249" s="11">
        <f t="shared" si="33"/>
        <v>0.33</v>
      </c>
      <c r="V249" s="13" t="str">
        <f t="shared" si="34"/>
        <v>INGRESÓ</v>
      </c>
      <c r="W249" s="13" t="s">
        <v>88</v>
      </c>
      <c r="X249" s="14">
        <v>45745</v>
      </c>
      <c r="Y249" s="13" t="s">
        <v>96</v>
      </c>
      <c r="Z249" s="13" t="e">
        <f>VLOOKUP(D249,Datos!$A$1:$C$256,3,FALSE)</f>
        <v>#N/A</v>
      </c>
    </row>
    <row r="250" spans="1:26" hidden="1" x14ac:dyDescent="0.25">
      <c r="A250" s="4">
        <v>181</v>
      </c>
      <c r="B250" s="12" t="e">
        <f>VLOOKUP(D250,Datos!$A$1:$H$256,4,FALSE)</f>
        <v>#N/A</v>
      </c>
      <c r="C250" s="12" t="e">
        <f>VLOOKUP(D250,Datos!$A$1:$H$256,5,FALSE)</f>
        <v>#N/A</v>
      </c>
      <c r="D250" s="4">
        <v>77175719</v>
      </c>
      <c r="E250" s="12" t="e">
        <f>VLOOKUP(D250,Datos!$A$1:$H$256,6,FALSE)</f>
        <v>#N/A</v>
      </c>
      <c r="F250" s="12" t="e">
        <f>VLOOKUP(D250,Datos!$A$1:$H$256,7,FALSE)</f>
        <v>#N/A</v>
      </c>
      <c r="G250" s="12" t="e">
        <f>VLOOKUP(D250,Datos!$A$1:$H$256,8,FALSE)</f>
        <v>#N/A</v>
      </c>
      <c r="H250" s="4" t="s">
        <v>39</v>
      </c>
      <c r="I250" s="4" t="s">
        <v>34</v>
      </c>
      <c r="J250" s="12" t="s">
        <v>42</v>
      </c>
      <c r="K250" s="4" t="s">
        <v>90</v>
      </c>
      <c r="L250" s="4">
        <v>4</v>
      </c>
      <c r="M250" s="11">
        <f t="shared" si="28"/>
        <v>0.16</v>
      </c>
      <c r="N250" s="4">
        <v>7</v>
      </c>
      <c r="O250" s="11">
        <f t="shared" si="29"/>
        <v>0.7</v>
      </c>
      <c r="P250" s="4">
        <v>6</v>
      </c>
      <c r="Q250" s="11">
        <f t="shared" si="30"/>
        <v>0.17142857142857143</v>
      </c>
      <c r="R250" s="4">
        <v>6</v>
      </c>
      <c r="S250" s="11">
        <f t="shared" si="31"/>
        <v>0.2</v>
      </c>
      <c r="T250" s="4">
        <f t="shared" si="32"/>
        <v>23</v>
      </c>
      <c r="U250" s="11">
        <f t="shared" si="33"/>
        <v>0.23</v>
      </c>
      <c r="V250" s="13" t="str">
        <f t="shared" si="34"/>
        <v>INGRESÓ</v>
      </c>
      <c r="W250" s="13" t="s">
        <v>88</v>
      </c>
      <c r="X250" s="14">
        <v>45745</v>
      </c>
      <c r="Y250" s="13" t="s">
        <v>96</v>
      </c>
      <c r="Z250" s="13" t="e">
        <f>VLOOKUP(D250,Datos!$A$1:$C$256,3,FALSE)</f>
        <v>#N/A</v>
      </c>
    </row>
    <row r="251" spans="1:26" hidden="1" x14ac:dyDescent="0.25">
      <c r="A251" s="4">
        <v>182</v>
      </c>
      <c r="B251" s="12" t="e">
        <f>VLOOKUP(D251,Datos!$A$1:$H$256,4,FALSE)</f>
        <v>#N/A</v>
      </c>
      <c r="C251" s="12" t="e">
        <f>VLOOKUP(D251,Datos!$A$1:$H$256,5,FALSE)</f>
        <v>#N/A</v>
      </c>
      <c r="D251" s="4">
        <v>77273306</v>
      </c>
      <c r="E251" s="12" t="e">
        <f>VLOOKUP(D251,Datos!$A$1:$H$256,6,FALSE)</f>
        <v>#N/A</v>
      </c>
      <c r="F251" s="12" t="e">
        <f>VLOOKUP(D251,Datos!$A$1:$H$256,7,FALSE)</f>
        <v>#N/A</v>
      </c>
      <c r="G251" s="12" t="e">
        <f>VLOOKUP(D251,Datos!$A$1:$H$256,8,FALSE)</f>
        <v>#N/A</v>
      </c>
      <c r="H251" s="4" t="s">
        <v>39</v>
      </c>
      <c r="I251" s="4" t="s">
        <v>34</v>
      </c>
      <c r="J251" s="12" t="s">
        <v>42</v>
      </c>
      <c r="K251" s="4" t="s">
        <v>90</v>
      </c>
      <c r="L251" s="4">
        <v>6</v>
      </c>
      <c r="M251" s="11">
        <f t="shared" si="28"/>
        <v>0.24</v>
      </c>
      <c r="N251" s="4">
        <v>7</v>
      </c>
      <c r="O251" s="11">
        <f t="shared" si="29"/>
        <v>0.7</v>
      </c>
      <c r="P251" s="4">
        <v>7</v>
      </c>
      <c r="Q251" s="11">
        <f t="shared" si="30"/>
        <v>0.2</v>
      </c>
      <c r="R251" s="4">
        <v>6</v>
      </c>
      <c r="S251" s="11">
        <f t="shared" si="31"/>
        <v>0.2</v>
      </c>
      <c r="T251" s="4">
        <f t="shared" si="32"/>
        <v>26</v>
      </c>
      <c r="U251" s="11">
        <f t="shared" si="33"/>
        <v>0.26</v>
      </c>
      <c r="V251" s="13" t="str">
        <f t="shared" si="34"/>
        <v>INGRESÓ</v>
      </c>
      <c r="W251" s="13" t="s">
        <v>88</v>
      </c>
      <c r="X251" s="14">
        <v>45745</v>
      </c>
      <c r="Y251" s="13" t="s">
        <v>96</v>
      </c>
      <c r="Z251" s="13" t="e">
        <f>VLOOKUP(D251,Datos!$A$1:$C$256,3,FALSE)</f>
        <v>#N/A</v>
      </c>
    </row>
    <row r="252" spans="1:26" x14ac:dyDescent="0.25">
      <c r="A252" s="4">
        <v>183</v>
      </c>
      <c r="B252" s="12" t="e">
        <f>VLOOKUP(D252,Datos!$A$1:$H$256,4,FALSE)</f>
        <v>#N/A</v>
      </c>
      <c r="C252" s="12" t="e">
        <f>VLOOKUP(D252,Datos!$A$1:$H$256,5,FALSE)</f>
        <v>#N/A</v>
      </c>
      <c r="D252" s="4">
        <v>70145995</v>
      </c>
      <c r="E252" s="12" t="e">
        <f>VLOOKUP(D252,Datos!$A$1:$H$256,6,FALSE)</f>
        <v>#N/A</v>
      </c>
      <c r="F252" s="12" t="e">
        <f>VLOOKUP(D252,Datos!$A$1:$H$256,7,FALSE)</f>
        <v>#N/A</v>
      </c>
      <c r="G252" s="12" t="e">
        <f>VLOOKUP(D252,Datos!$A$1:$H$256,8,FALSE)</f>
        <v>#N/A</v>
      </c>
      <c r="H252" s="4" t="s">
        <v>39</v>
      </c>
      <c r="I252" s="4" t="s">
        <v>30</v>
      </c>
      <c r="J252" s="12" t="s">
        <v>42</v>
      </c>
      <c r="K252" s="4" t="s">
        <v>90</v>
      </c>
      <c r="L252" s="4">
        <v>6</v>
      </c>
      <c r="M252" s="11">
        <f t="shared" si="28"/>
        <v>0.24</v>
      </c>
      <c r="N252" s="4">
        <v>10</v>
      </c>
      <c r="O252" s="11">
        <f t="shared" si="29"/>
        <v>1</v>
      </c>
      <c r="P252" s="4">
        <v>3</v>
      </c>
      <c r="Q252" s="11">
        <f t="shared" si="30"/>
        <v>8.5714285714285715E-2</v>
      </c>
      <c r="R252" s="4">
        <v>5</v>
      </c>
      <c r="S252" s="11">
        <f t="shared" si="31"/>
        <v>0.16666666666666666</v>
      </c>
      <c r="T252" s="4">
        <f t="shared" si="32"/>
        <v>24</v>
      </c>
      <c r="U252" s="11">
        <f t="shared" si="33"/>
        <v>0.24</v>
      </c>
      <c r="V252" s="13" t="str">
        <f t="shared" si="34"/>
        <v>INGRESÓ</v>
      </c>
      <c r="W252" s="13" t="s">
        <v>88</v>
      </c>
      <c r="X252" s="14">
        <v>45745</v>
      </c>
      <c r="Y252" s="13" t="s">
        <v>96</v>
      </c>
      <c r="Z252" s="13" t="e">
        <f>VLOOKUP(D252,Datos!$A$1:$C$256,3,FALSE)</f>
        <v>#N/A</v>
      </c>
    </row>
    <row r="253" spans="1:26" hidden="1" x14ac:dyDescent="0.25">
      <c r="A253" s="4">
        <v>184</v>
      </c>
      <c r="B253" s="12" t="e">
        <f>VLOOKUP(D253,Datos!$A$1:$H$256,4,FALSE)</f>
        <v>#N/A</v>
      </c>
      <c r="C253" s="12" t="e">
        <f>VLOOKUP(D253,Datos!$A$1:$H$256,5,FALSE)</f>
        <v>#N/A</v>
      </c>
      <c r="D253" s="4">
        <v>40724398</v>
      </c>
      <c r="E253" s="12" t="e">
        <f>VLOOKUP(D253,Datos!$A$1:$H$256,6,FALSE)</f>
        <v>#N/A</v>
      </c>
      <c r="F253" s="12" t="e">
        <f>VLOOKUP(D253,Datos!$A$1:$H$256,7,FALSE)</f>
        <v>#N/A</v>
      </c>
      <c r="G253" s="12" t="e">
        <f>VLOOKUP(D253,Datos!$A$1:$H$256,8,FALSE)</f>
        <v>#N/A</v>
      </c>
      <c r="H253" s="4" t="s">
        <v>39</v>
      </c>
      <c r="I253" s="4" t="s">
        <v>99</v>
      </c>
      <c r="J253" s="12" t="s">
        <v>42</v>
      </c>
      <c r="K253" s="4" t="s">
        <v>90</v>
      </c>
      <c r="L253" s="4">
        <v>14</v>
      </c>
      <c r="M253" s="11">
        <f t="shared" si="28"/>
        <v>0.56000000000000005</v>
      </c>
      <c r="N253" s="4">
        <v>10</v>
      </c>
      <c r="O253" s="11">
        <f t="shared" si="29"/>
        <v>1</v>
      </c>
      <c r="P253" s="4">
        <v>20</v>
      </c>
      <c r="Q253" s="11">
        <f t="shared" si="30"/>
        <v>0.5714285714285714</v>
      </c>
      <c r="R253" s="4">
        <v>19</v>
      </c>
      <c r="S253" s="11">
        <f t="shared" si="31"/>
        <v>0.6333333333333333</v>
      </c>
      <c r="T253" s="4">
        <f t="shared" si="32"/>
        <v>63</v>
      </c>
      <c r="U253" s="11">
        <f t="shared" si="33"/>
        <v>0.63</v>
      </c>
      <c r="V253" s="13" t="str">
        <f t="shared" si="34"/>
        <v>INGRESÓ</v>
      </c>
      <c r="W253" s="13" t="s">
        <v>88</v>
      </c>
      <c r="X253" s="14">
        <v>45745</v>
      </c>
      <c r="Y253" s="13" t="s">
        <v>96</v>
      </c>
      <c r="Z253" s="13" t="e">
        <f>VLOOKUP(D253,Datos!$A$1:$C$256,3,FALSE)</f>
        <v>#N/A</v>
      </c>
    </row>
    <row r="254" spans="1:26" hidden="1" x14ac:dyDescent="0.25">
      <c r="A254" s="4">
        <v>1</v>
      </c>
      <c r="B254" s="12" t="e">
        <f>VLOOKUP(D254,Datos!$A$1:$H$256,4,FALSE)</f>
        <v>#N/A</v>
      </c>
      <c r="C254" s="12" t="e">
        <f>VLOOKUP(D254,Datos!$A$1:$H$256,5,FALSE)</f>
        <v>#N/A</v>
      </c>
      <c r="D254" s="4">
        <v>77661826</v>
      </c>
      <c r="E254" s="12" t="e">
        <f>VLOOKUP(D254,Datos!$A$1:$H$256,6,FALSE)</f>
        <v>#N/A</v>
      </c>
      <c r="F254" s="12" t="e">
        <f>VLOOKUP(D254,Datos!$A$1:$H$256,7,FALSE)</f>
        <v>#N/A</v>
      </c>
      <c r="G254" s="12" t="e">
        <f>VLOOKUP(D254,Datos!$A$1:$H$256,8,FALSE)</f>
        <v>#N/A</v>
      </c>
      <c r="H254" s="4" t="s">
        <v>41</v>
      </c>
      <c r="I254" s="4" t="s">
        <v>50</v>
      </c>
      <c r="J254" s="12" t="s">
        <v>42</v>
      </c>
      <c r="K254" s="4" t="s">
        <v>90</v>
      </c>
      <c r="L254" s="4">
        <v>8</v>
      </c>
      <c r="M254" s="11">
        <f>IF(L254="","",(L254/25))</f>
        <v>0.32</v>
      </c>
      <c r="N254" s="4">
        <v>3</v>
      </c>
      <c r="O254" s="11">
        <f>IF(N254="","",(N254/10))</f>
        <v>0.3</v>
      </c>
      <c r="P254" s="4">
        <v>13</v>
      </c>
      <c r="Q254" s="11">
        <f>IF(P254="","",(P254/35))</f>
        <v>0.37142857142857144</v>
      </c>
      <c r="R254" s="4">
        <v>9</v>
      </c>
      <c r="S254" s="11">
        <f>IF(R254="","",(R254/30))</f>
        <v>0.3</v>
      </c>
      <c r="T254" s="4">
        <f>L254+N254+P254+R254</f>
        <v>33</v>
      </c>
      <c r="U254" s="11">
        <f>IF(T254="","",(T254/100))</f>
        <v>0.33</v>
      </c>
      <c r="V254" s="13" t="str">
        <f>IF(U254=0,"NO INGRESÓ","INGRESÓ")</f>
        <v>INGRESÓ</v>
      </c>
      <c r="W254" s="13" t="s">
        <v>88</v>
      </c>
      <c r="X254" s="14">
        <v>45745</v>
      </c>
      <c r="Y254" s="13" t="s">
        <v>96</v>
      </c>
      <c r="Z254" s="13" t="e">
        <f>VLOOKUP(D254,Datos!$A$1:$C$256,3,FALSE)</f>
        <v>#N/A</v>
      </c>
    </row>
    <row r="255" spans="1:26" hidden="1" x14ac:dyDescent="0.25">
      <c r="A255" s="4">
        <v>2</v>
      </c>
      <c r="B255" s="12" t="e">
        <f>VLOOKUP(D255,Datos!$A$1:$H$256,4,FALSE)</f>
        <v>#N/A</v>
      </c>
      <c r="C255" s="12" t="e">
        <f>VLOOKUP(D255,Datos!$A$1:$H$256,5,FALSE)</f>
        <v>#N/A</v>
      </c>
      <c r="D255" s="4">
        <v>60886720</v>
      </c>
      <c r="E255" s="12" t="e">
        <f>VLOOKUP(D255,Datos!$A$1:$H$256,6,FALSE)</f>
        <v>#N/A</v>
      </c>
      <c r="F255" s="12" t="e">
        <f>VLOOKUP(D255,Datos!$A$1:$H$256,7,FALSE)</f>
        <v>#N/A</v>
      </c>
      <c r="G255" s="12" t="e">
        <f>VLOOKUP(D255,Datos!$A$1:$H$256,8,FALSE)</f>
        <v>#N/A</v>
      </c>
      <c r="H255" s="4" t="s">
        <v>41</v>
      </c>
      <c r="I255" s="4" t="s">
        <v>103</v>
      </c>
      <c r="J255" s="12" t="s">
        <v>42</v>
      </c>
      <c r="K255" s="4" t="s">
        <v>90</v>
      </c>
      <c r="L255" s="4">
        <v>6</v>
      </c>
      <c r="M255" s="11">
        <f t="shared" ref="M255:M278" si="35">IF(L255="","",(L255/25))</f>
        <v>0.24</v>
      </c>
      <c r="N255" s="4">
        <v>0</v>
      </c>
      <c r="O255" s="11">
        <f t="shared" ref="O255:O278" si="36">IF(N255="","",(N255/10))</f>
        <v>0</v>
      </c>
      <c r="P255" s="4">
        <v>13</v>
      </c>
      <c r="Q255" s="11">
        <f t="shared" ref="Q255:Q278" si="37">IF(P255="","",(P255/35))</f>
        <v>0.37142857142857144</v>
      </c>
      <c r="R255" s="4">
        <v>11</v>
      </c>
      <c r="S255" s="11">
        <f t="shared" ref="S255:S278" si="38">IF(R255="","",(R255/30))</f>
        <v>0.36666666666666664</v>
      </c>
      <c r="T255" s="4">
        <f t="shared" ref="T255:T278" si="39">L255+N255+P255+R255</f>
        <v>30</v>
      </c>
      <c r="U255" s="11">
        <f t="shared" ref="U255:U278" si="40">IF(T255="","",(T255/100))</f>
        <v>0.3</v>
      </c>
      <c r="V255" s="13" t="str">
        <f t="shared" ref="V255:V278" si="41">IF(U255=0,"NO INGRESÓ","INGRESÓ")</f>
        <v>INGRESÓ</v>
      </c>
      <c r="W255" s="13" t="s">
        <v>88</v>
      </c>
      <c r="X255" s="14">
        <v>45745</v>
      </c>
      <c r="Y255" s="13" t="s">
        <v>96</v>
      </c>
      <c r="Z255" s="13" t="e">
        <f>VLOOKUP(D255,Datos!$A$1:$C$256,3,FALSE)</f>
        <v>#N/A</v>
      </c>
    </row>
    <row r="256" spans="1:26" hidden="1" x14ac:dyDescent="0.25">
      <c r="A256" s="4">
        <v>3</v>
      </c>
      <c r="B256" s="12" t="e">
        <f>VLOOKUP(D256,Datos!$A$1:$H$256,4,FALSE)</f>
        <v>#N/A</v>
      </c>
      <c r="C256" s="12" t="e">
        <f>VLOOKUP(D256,Datos!$A$1:$H$256,5,FALSE)</f>
        <v>#N/A</v>
      </c>
      <c r="D256" s="4">
        <v>61060628</v>
      </c>
      <c r="E256" s="12" t="e">
        <f>VLOOKUP(D256,Datos!$A$1:$H$256,6,FALSE)</f>
        <v>#N/A</v>
      </c>
      <c r="F256" s="12" t="e">
        <f>VLOOKUP(D256,Datos!$A$1:$H$256,7,FALSE)</f>
        <v>#N/A</v>
      </c>
      <c r="G256" s="12" t="e">
        <f>VLOOKUP(D256,Datos!$A$1:$H$256,8,FALSE)</f>
        <v>#N/A</v>
      </c>
      <c r="H256" s="4" t="s">
        <v>41</v>
      </c>
      <c r="I256" s="4" t="s">
        <v>103</v>
      </c>
      <c r="J256" s="12" t="s">
        <v>42</v>
      </c>
      <c r="K256" s="4" t="s">
        <v>90</v>
      </c>
      <c r="L256" s="4">
        <v>6</v>
      </c>
      <c r="M256" s="11">
        <f t="shared" si="35"/>
        <v>0.24</v>
      </c>
      <c r="N256" s="4">
        <v>3</v>
      </c>
      <c r="O256" s="11">
        <f t="shared" si="36"/>
        <v>0.3</v>
      </c>
      <c r="P256" s="4">
        <v>17</v>
      </c>
      <c r="Q256" s="11">
        <f t="shared" si="37"/>
        <v>0.48571428571428571</v>
      </c>
      <c r="R256" s="4">
        <v>6</v>
      </c>
      <c r="S256" s="11">
        <f t="shared" si="38"/>
        <v>0.2</v>
      </c>
      <c r="T256" s="4">
        <f t="shared" si="39"/>
        <v>32</v>
      </c>
      <c r="U256" s="11">
        <f t="shared" si="40"/>
        <v>0.32</v>
      </c>
      <c r="V256" s="13" t="str">
        <f t="shared" si="41"/>
        <v>INGRESÓ</v>
      </c>
      <c r="W256" s="13" t="s">
        <v>88</v>
      </c>
      <c r="X256" s="14">
        <v>45745</v>
      </c>
      <c r="Y256" s="13" t="s">
        <v>96</v>
      </c>
      <c r="Z256" s="13" t="e">
        <f>VLOOKUP(D256,Datos!$A$1:$C$256,3,FALSE)</f>
        <v>#N/A</v>
      </c>
    </row>
    <row r="257" spans="1:26" hidden="1" x14ac:dyDescent="0.25">
      <c r="A257" s="4">
        <v>4</v>
      </c>
      <c r="B257" s="12" t="e">
        <f>VLOOKUP(D257,Datos!$A$1:$H$256,4,FALSE)</f>
        <v>#N/A</v>
      </c>
      <c r="C257" s="12" t="e">
        <f>VLOOKUP(D257,Datos!$A$1:$H$256,5,FALSE)</f>
        <v>#N/A</v>
      </c>
      <c r="D257" s="4">
        <v>60404599</v>
      </c>
      <c r="E257" s="12" t="e">
        <f>VLOOKUP(D257,Datos!$A$1:$H$256,6,FALSE)</f>
        <v>#N/A</v>
      </c>
      <c r="F257" s="12" t="e">
        <f>VLOOKUP(D257,Datos!$A$1:$H$256,7,FALSE)</f>
        <v>#N/A</v>
      </c>
      <c r="G257" s="12" t="e">
        <f>VLOOKUP(D257,Datos!$A$1:$H$256,8,FALSE)</f>
        <v>#N/A</v>
      </c>
      <c r="H257" s="4" t="s">
        <v>41</v>
      </c>
      <c r="I257" s="4" t="s">
        <v>50</v>
      </c>
      <c r="J257" s="12" t="s">
        <v>42</v>
      </c>
      <c r="K257" s="4" t="s">
        <v>90</v>
      </c>
      <c r="L257" s="4">
        <v>8</v>
      </c>
      <c r="M257" s="11">
        <f t="shared" si="35"/>
        <v>0.32</v>
      </c>
      <c r="N257" s="4">
        <v>3</v>
      </c>
      <c r="O257" s="11">
        <f t="shared" si="36"/>
        <v>0.3</v>
      </c>
      <c r="P257" s="4">
        <v>12</v>
      </c>
      <c r="Q257" s="11">
        <f t="shared" si="37"/>
        <v>0.34285714285714286</v>
      </c>
      <c r="R257" s="4">
        <v>8</v>
      </c>
      <c r="S257" s="11">
        <f t="shared" si="38"/>
        <v>0.26666666666666666</v>
      </c>
      <c r="T257" s="4">
        <f t="shared" si="39"/>
        <v>31</v>
      </c>
      <c r="U257" s="11">
        <f t="shared" si="40"/>
        <v>0.31</v>
      </c>
      <c r="V257" s="13" t="str">
        <f t="shared" si="41"/>
        <v>INGRESÓ</v>
      </c>
      <c r="W257" s="13" t="s">
        <v>88</v>
      </c>
      <c r="X257" s="14">
        <v>45745</v>
      </c>
      <c r="Y257" s="13" t="s">
        <v>96</v>
      </c>
      <c r="Z257" s="13" t="e">
        <f>VLOOKUP(D257,Datos!$A$1:$C$256,3,FALSE)</f>
        <v>#N/A</v>
      </c>
    </row>
    <row r="258" spans="1:26" hidden="1" x14ac:dyDescent="0.25">
      <c r="A258" s="4">
        <v>5</v>
      </c>
      <c r="B258" s="12" t="e">
        <f>VLOOKUP(D258,Datos!$A$1:$H$256,4,FALSE)</f>
        <v>#N/A</v>
      </c>
      <c r="C258" s="12" t="e">
        <f>VLOOKUP(D258,Datos!$A$1:$H$256,5,FALSE)</f>
        <v>#N/A</v>
      </c>
      <c r="D258" s="4">
        <v>61205814</v>
      </c>
      <c r="E258" s="12" t="e">
        <f>VLOOKUP(D258,Datos!$A$1:$H$256,6,FALSE)</f>
        <v>#N/A</v>
      </c>
      <c r="F258" s="12" t="e">
        <f>VLOOKUP(D258,Datos!$A$1:$H$256,7,FALSE)</f>
        <v>#N/A</v>
      </c>
      <c r="G258" s="12" t="e">
        <f>VLOOKUP(D258,Datos!$A$1:$H$256,8,FALSE)</f>
        <v>#N/A</v>
      </c>
      <c r="H258" s="4" t="s">
        <v>41</v>
      </c>
      <c r="I258" s="4" t="s">
        <v>103</v>
      </c>
      <c r="J258" s="12" t="s">
        <v>42</v>
      </c>
      <c r="K258" s="4" t="s">
        <v>90</v>
      </c>
      <c r="L258" s="4">
        <v>7</v>
      </c>
      <c r="M258" s="11">
        <f t="shared" si="35"/>
        <v>0.28000000000000003</v>
      </c>
      <c r="N258" s="4">
        <v>3</v>
      </c>
      <c r="O258" s="11">
        <f t="shared" si="36"/>
        <v>0.3</v>
      </c>
      <c r="P258" s="4">
        <v>20</v>
      </c>
      <c r="Q258" s="11">
        <f t="shared" si="37"/>
        <v>0.5714285714285714</v>
      </c>
      <c r="R258" s="4">
        <v>8</v>
      </c>
      <c r="S258" s="11">
        <f t="shared" si="38"/>
        <v>0.26666666666666666</v>
      </c>
      <c r="T258" s="4">
        <f t="shared" si="39"/>
        <v>38</v>
      </c>
      <c r="U258" s="11">
        <f t="shared" si="40"/>
        <v>0.38</v>
      </c>
      <c r="V258" s="13" t="str">
        <f t="shared" si="41"/>
        <v>INGRESÓ</v>
      </c>
      <c r="W258" s="13" t="s">
        <v>88</v>
      </c>
      <c r="X258" s="14">
        <v>45745</v>
      </c>
      <c r="Y258" s="13" t="s">
        <v>96</v>
      </c>
      <c r="Z258" s="13" t="e">
        <f>VLOOKUP(D258,Datos!$A$1:$C$256,3,FALSE)</f>
        <v>#N/A</v>
      </c>
    </row>
    <row r="259" spans="1:26" hidden="1" x14ac:dyDescent="0.25">
      <c r="A259" s="4">
        <v>6</v>
      </c>
      <c r="B259" s="12" t="e">
        <f>VLOOKUP(D259,Datos!$A$1:$H$256,4,FALSE)</f>
        <v>#N/A</v>
      </c>
      <c r="C259" s="12" t="e">
        <f>VLOOKUP(D259,Datos!$A$1:$H$256,5,FALSE)</f>
        <v>#N/A</v>
      </c>
      <c r="D259" s="4">
        <v>63307416</v>
      </c>
      <c r="E259" s="12" t="e">
        <f>VLOOKUP(D259,Datos!$A$1:$H$256,6,FALSE)</f>
        <v>#N/A</v>
      </c>
      <c r="F259" s="12" t="e">
        <f>VLOOKUP(D259,Datos!$A$1:$H$256,7,FALSE)</f>
        <v>#N/A</v>
      </c>
      <c r="G259" s="12" t="e">
        <f>VLOOKUP(D259,Datos!$A$1:$H$256,8,FALSE)</f>
        <v>#N/A</v>
      </c>
      <c r="H259" s="4" t="s">
        <v>41</v>
      </c>
      <c r="I259" s="4" t="s">
        <v>103</v>
      </c>
      <c r="J259" s="12" t="s">
        <v>42</v>
      </c>
      <c r="K259" s="4" t="s">
        <v>90</v>
      </c>
      <c r="L259" s="4">
        <v>9</v>
      </c>
      <c r="M259" s="11">
        <f t="shared" si="35"/>
        <v>0.36</v>
      </c>
      <c r="N259" s="4">
        <v>3</v>
      </c>
      <c r="O259" s="11">
        <f t="shared" si="36"/>
        <v>0.3</v>
      </c>
      <c r="P259" s="4">
        <v>20</v>
      </c>
      <c r="Q259" s="11">
        <f t="shared" si="37"/>
        <v>0.5714285714285714</v>
      </c>
      <c r="R259" s="4">
        <v>12</v>
      </c>
      <c r="S259" s="11">
        <f t="shared" si="38"/>
        <v>0.4</v>
      </c>
      <c r="T259" s="4">
        <f t="shared" si="39"/>
        <v>44</v>
      </c>
      <c r="U259" s="11">
        <f t="shared" si="40"/>
        <v>0.44</v>
      </c>
      <c r="V259" s="13" t="str">
        <f t="shared" si="41"/>
        <v>INGRESÓ</v>
      </c>
      <c r="W259" s="13" t="s">
        <v>88</v>
      </c>
      <c r="X259" s="14">
        <v>45745</v>
      </c>
      <c r="Y259" s="13" t="s">
        <v>96</v>
      </c>
      <c r="Z259" s="13" t="e">
        <f>VLOOKUP(D259,Datos!$A$1:$C$256,3,FALSE)</f>
        <v>#N/A</v>
      </c>
    </row>
    <row r="260" spans="1:26" hidden="1" x14ac:dyDescent="0.25">
      <c r="A260" s="4">
        <v>7</v>
      </c>
      <c r="B260" s="12" t="e">
        <f>VLOOKUP(D260,Datos!$A$1:$H$256,4,FALSE)</f>
        <v>#N/A</v>
      </c>
      <c r="C260" s="12" t="e">
        <f>VLOOKUP(D260,Datos!$A$1:$H$256,5,FALSE)</f>
        <v>#N/A</v>
      </c>
      <c r="D260" s="4">
        <v>60493599</v>
      </c>
      <c r="E260" s="12" t="e">
        <f>VLOOKUP(D260,Datos!$A$1:$H$256,6,FALSE)</f>
        <v>#N/A</v>
      </c>
      <c r="F260" s="12" t="e">
        <f>VLOOKUP(D260,Datos!$A$1:$H$256,7,FALSE)</f>
        <v>#N/A</v>
      </c>
      <c r="G260" s="12" t="e">
        <f>VLOOKUP(D260,Datos!$A$1:$H$256,8,FALSE)</f>
        <v>#N/A</v>
      </c>
      <c r="H260" s="4" t="s">
        <v>41</v>
      </c>
      <c r="I260" s="4" t="s">
        <v>103</v>
      </c>
      <c r="J260" s="12" t="s">
        <v>42</v>
      </c>
      <c r="K260" s="4" t="s">
        <v>90</v>
      </c>
      <c r="L260" s="4">
        <v>11</v>
      </c>
      <c r="M260" s="11">
        <f t="shared" si="35"/>
        <v>0.44</v>
      </c>
      <c r="N260" s="4">
        <v>4</v>
      </c>
      <c r="O260" s="11">
        <f t="shared" si="36"/>
        <v>0.4</v>
      </c>
      <c r="P260" s="4">
        <v>14</v>
      </c>
      <c r="Q260" s="11">
        <f t="shared" si="37"/>
        <v>0.4</v>
      </c>
      <c r="R260" s="4">
        <v>11</v>
      </c>
      <c r="S260" s="11">
        <f t="shared" si="38"/>
        <v>0.36666666666666664</v>
      </c>
      <c r="T260" s="4">
        <f t="shared" si="39"/>
        <v>40</v>
      </c>
      <c r="U260" s="11">
        <f t="shared" si="40"/>
        <v>0.4</v>
      </c>
      <c r="V260" s="13" t="str">
        <f t="shared" si="41"/>
        <v>INGRESÓ</v>
      </c>
      <c r="W260" s="13" t="s">
        <v>88</v>
      </c>
      <c r="X260" s="14">
        <v>45745</v>
      </c>
      <c r="Y260" s="13" t="s">
        <v>96</v>
      </c>
      <c r="Z260" s="13" t="e">
        <f>VLOOKUP(D260,Datos!$A$1:$C$256,3,FALSE)</f>
        <v>#N/A</v>
      </c>
    </row>
    <row r="261" spans="1:26" hidden="1" x14ac:dyDescent="0.25">
      <c r="A261" s="4">
        <v>8</v>
      </c>
      <c r="B261" s="12" t="e">
        <f>VLOOKUP(D261,Datos!$A$1:$H$256,4,FALSE)</f>
        <v>#N/A</v>
      </c>
      <c r="C261" s="12" t="e">
        <f>VLOOKUP(D261,Datos!$A$1:$H$256,5,FALSE)</f>
        <v>#N/A</v>
      </c>
      <c r="D261" s="4">
        <v>61205884</v>
      </c>
      <c r="E261" s="12" t="e">
        <f>VLOOKUP(D261,Datos!$A$1:$H$256,6,FALSE)</f>
        <v>#N/A</v>
      </c>
      <c r="F261" s="12" t="e">
        <f>VLOOKUP(D261,Datos!$A$1:$H$256,7,FALSE)</f>
        <v>#N/A</v>
      </c>
      <c r="G261" s="12" t="e">
        <f>VLOOKUP(D261,Datos!$A$1:$H$256,8,FALSE)</f>
        <v>#N/A</v>
      </c>
      <c r="H261" s="4" t="s">
        <v>41</v>
      </c>
      <c r="I261" s="4" t="s">
        <v>103</v>
      </c>
      <c r="J261" s="12" t="s">
        <v>42</v>
      </c>
      <c r="K261" s="4" t="s">
        <v>90</v>
      </c>
      <c r="L261" s="4">
        <v>6</v>
      </c>
      <c r="M261" s="11">
        <f t="shared" si="35"/>
        <v>0.24</v>
      </c>
      <c r="N261" s="4">
        <v>2</v>
      </c>
      <c r="O261" s="11">
        <f t="shared" si="36"/>
        <v>0.2</v>
      </c>
      <c r="P261" s="4">
        <v>9</v>
      </c>
      <c r="Q261" s="11">
        <f t="shared" si="37"/>
        <v>0.25714285714285712</v>
      </c>
      <c r="R261" s="4">
        <v>9</v>
      </c>
      <c r="S261" s="11">
        <f t="shared" si="38"/>
        <v>0.3</v>
      </c>
      <c r="T261" s="4">
        <f t="shared" si="39"/>
        <v>26</v>
      </c>
      <c r="U261" s="11">
        <f t="shared" si="40"/>
        <v>0.26</v>
      </c>
      <c r="V261" s="13" t="str">
        <f t="shared" si="41"/>
        <v>INGRESÓ</v>
      </c>
      <c r="W261" s="13" t="s">
        <v>88</v>
      </c>
      <c r="X261" s="14">
        <v>45745</v>
      </c>
      <c r="Y261" s="13" t="s">
        <v>96</v>
      </c>
      <c r="Z261" s="13" t="e">
        <f>VLOOKUP(D261,Datos!$A$1:$C$256,3,FALSE)</f>
        <v>#N/A</v>
      </c>
    </row>
    <row r="262" spans="1:26" hidden="1" x14ac:dyDescent="0.25">
      <c r="A262" s="4">
        <v>9</v>
      </c>
      <c r="B262" s="12" t="e">
        <f>VLOOKUP(D262,Datos!$A$1:$H$256,4,FALSE)</f>
        <v>#N/A</v>
      </c>
      <c r="C262" s="12" t="e">
        <f>VLOOKUP(D262,Datos!$A$1:$H$256,5,FALSE)</f>
        <v>#N/A</v>
      </c>
      <c r="D262" s="4">
        <v>48627421</v>
      </c>
      <c r="E262" s="12" t="e">
        <f>VLOOKUP(D262,Datos!$A$1:$H$256,6,FALSE)</f>
        <v>#N/A</v>
      </c>
      <c r="F262" s="12" t="e">
        <f>VLOOKUP(D262,Datos!$A$1:$H$256,7,FALSE)</f>
        <v>#N/A</v>
      </c>
      <c r="G262" s="12" t="e">
        <f>VLOOKUP(D262,Datos!$A$1:$H$256,8,FALSE)</f>
        <v>#N/A</v>
      </c>
      <c r="H262" s="4" t="s">
        <v>41</v>
      </c>
      <c r="I262" s="4" t="s">
        <v>103</v>
      </c>
      <c r="J262" s="12" t="s">
        <v>42</v>
      </c>
      <c r="K262" s="4" t="s">
        <v>90</v>
      </c>
      <c r="L262" s="4">
        <v>7</v>
      </c>
      <c r="M262" s="11">
        <f t="shared" si="35"/>
        <v>0.28000000000000003</v>
      </c>
      <c r="N262" s="4">
        <v>4</v>
      </c>
      <c r="O262" s="11">
        <f t="shared" si="36"/>
        <v>0.4</v>
      </c>
      <c r="P262" s="4">
        <v>13</v>
      </c>
      <c r="Q262" s="11">
        <f t="shared" si="37"/>
        <v>0.37142857142857144</v>
      </c>
      <c r="R262" s="4">
        <v>14</v>
      </c>
      <c r="S262" s="11">
        <f t="shared" si="38"/>
        <v>0.46666666666666667</v>
      </c>
      <c r="T262" s="4">
        <f t="shared" si="39"/>
        <v>38</v>
      </c>
      <c r="U262" s="11">
        <f t="shared" si="40"/>
        <v>0.38</v>
      </c>
      <c r="V262" s="13" t="str">
        <f t="shared" si="41"/>
        <v>INGRESÓ</v>
      </c>
      <c r="W262" s="13" t="s">
        <v>88</v>
      </c>
      <c r="X262" s="14">
        <v>45745</v>
      </c>
      <c r="Y262" s="13" t="s">
        <v>96</v>
      </c>
      <c r="Z262" s="13" t="e">
        <f>VLOOKUP(D262,Datos!$A$1:$C$256,3,FALSE)</f>
        <v>#N/A</v>
      </c>
    </row>
    <row r="263" spans="1:26" hidden="1" x14ac:dyDescent="0.25">
      <c r="A263" s="4">
        <v>10</v>
      </c>
      <c r="B263" s="12" t="e">
        <f>VLOOKUP(D263,Datos!$A$1:$H$256,4,FALSE)</f>
        <v>#N/A</v>
      </c>
      <c r="C263" s="12" t="e">
        <f>VLOOKUP(D263,Datos!$A$1:$H$256,5,FALSE)</f>
        <v>#N/A</v>
      </c>
      <c r="D263" s="4">
        <v>61060244</v>
      </c>
      <c r="E263" s="12" t="e">
        <f>VLOOKUP(D263,Datos!$A$1:$H$256,6,FALSE)</f>
        <v>#N/A</v>
      </c>
      <c r="F263" s="12" t="e">
        <f>VLOOKUP(D263,Datos!$A$1:$H$256,7,FALSE)</f>
        <v>#N/A</v>
      </c>
      <c r="G263" s="12" t="e">
        <f>VLOOKUP(D263,Datos!$A$1:$H$256,8,FALSE)</f>
        <v>#N/A</v>
      </c>
      <c r="H263" s="4" t="s">
        <v>41</v>
      </c>
      <c r="I263" s="4" t="s">
        <v>103</v>
      </c>
      <c r="J263" s="12" t="s">
        <v>42</v>
      </c>
      <c r="K263" s="4" t="s">
        <v>90</v>
      </c>
      <c r="L263" s="4">
        <v>11</v>
      </c>
      <c r="M263" s="11">
        <f t="shared" si="35"/>
        <v>0.44</v>
      </c>
      <c r="N263" s="4">
        <v>3</v>
      </c>
      <c r="O263" s="11">
        <f t="shared" si="36"/>
        <v>0.3</v>
      </c>
      <c r="P263" s="4">
        <v>20</v>
      </c>
      <c r="Q263" s="11">
        <f t="shared" si="37"/>
        <v>0.5714285714285714</v>
      </c>
      <c r="R263" s="4">
        <v>10</v>
      </c>
      <c r="S263" s="11">
        <f t="shared" si="38"/>
        <v>0.33333333333333331</v>
      </c>
      <c r="T263" s="4">
        <f t="shared" si="39"/>
        <v>44</v>
      </c>
      <c r="U263" s="11">
        <f t="shared" si="40"/>
        <v>0.44</v>
      </c>
      <c r="V263" s="13" t="str">
        <f t="shared" si="41"/>
        <v>INGRESÓ</v>
      </c>
      <c r="W263" s="13" t="s">
        <v>88</v>
      </c>
      <c r="X263" s="14">
        <v>45745</v>
      </c>
      <c r="Y263" s="13" t="s">
        <v>96</v>
      </c>
      <c r="Z263" s="13" t="e">
        <f>VLOOKUP(D263,Datos!$A$1:$C$256,3,FALSE)</f>
        <v>#N/A</v>
      </c>
    </row>
    <row r="264" spans="1:26" hidden="1" x14ac:dyDescent="0.25">
      <c r="A264" s="4">
        <v>11</v>
      </c>
      <c r="B264" s="12" t="e">
        <f>VLOOKUP(D264,Datos!$A$1:$H$256,4,FALSE)</f>
        <v>#N/A</v>
      </c>
      <c r="C264" s="12" t="e">
        <f>VLOOKUP(D264,Datos!$A$1:$H$256,5,FALSE)</f>
        <v>#N/A</v>
      </c>
      <c r="D264" s="4">
        <v>1347738</v>
      </c>
      <c r="E264" s="12" t="e">
        <f>VLOOKUP(D264,Datos!$A$1:$H$256,6,FALSE)</f>
        <v>#N/A</v>
      </c>
      <c r="F264" s="12" t="e">
        <f>VLOOKUP(D264,Datos!$A$1:$H$256,7,FALSE)</f>
        <v>#N/A</v>
      </c>
      <c r="G264" s="12" t="e">
        <f>VLOOKUP(D264,Datos!$A$1:$H$256,8,FALSE)</f>
        <v>#N/A</v>
      </c>
      <c r="H264" s="4" t="s">
        <v>41</v>
      </c>
      <c r="I264" s="4" t="s">
        <v>103</v>
      </c>
      <c r="J264" s="12" t="s">
        <v>42</v>
      </c>
      <c r="K264" s="4" t="s">
        <v>90</v>
      </c>
      <c r="L264" s="4">
        <v>7</v>
      </c>
      <c r="M264" s="11">
        <f t="shared" si="35"/>
        <v>0.28000000000000003</v>
      </c>
      <c r="N264" s="4">
        <v>2</v>
      </c>
      <c r="O264" s="11">
        <f t="shared" si="36"/>
        <v>0.2</v>
      </c>
      <c r="P264" s="4">
        <v>18</v>
      </c>
      <c r="Q264" s="11">
        <f t="shared" si="37"/>
        <v>0.51428571428571423</v>
      </c>
      <c r="R264" s="4">
        <v>11</v>
      </c>
      <c r="S264" s="11">
        <f t="shared" si="38"/>
        <v>0.36666666666666664</v>
      </c>
      <c r="T264" s="4">
        <f t="shared" si="39"/>
        <v>38</v>
      </c>
      <c r="U264" s="11">
        <f t="shared" si="40"/>
        <v>0.38</v>
      </c>
      <c r="V264" s="13" t="str">
        <f t="shared" si="41"/>
        <v>INGRESÓ</v>
      </c>
      <c r="W264" s="13" t="s">
        <v>88</v>
      </c>
      <c r="X264" s="14">
        <v>45745</v>
      </c>
      <c r="Y264" s="13" t="s">
        <v>96</v>
      </c>
      <c r="Z264" s="13" t="e">
        <f>VLOOKUP(D264,Datos!$A$1:$C$256,3,FALSE)</f>
        <v>#N/A</v>
      </c>
    </row>
    <row r="265" spans="1:26" hidden="1" x14ac:dyDescent="0.25">
      <c r="A265" s="4">
        <v>12</v>
      </c>
      <c r="B265" s="12" t="e">
        <f>VLOOKUP(D265,Datos!$A$1:$H$256,4,FALSE)</f>
        <v>#N/A</v>
      </c>
      <c r="C265" s="12" t="e">
        <f>VLOOKUP(D265,Datos!$A$1:$H$256,5,FALSE)</f>
        <v>#N/A</v>
      </c>
      <c r="D265" s="4">
        <v>71280877</v>
      </c>
      <c r="E265" s="12" t="e">
        <f>VLOOKUP(D265,Datos!$A$1:$H$256,6,FALSE)</f>
        <v>#N/A</v>
      </c>
      <c r="F265" s="12" t="e">
        <f>VLOOKUP(D265,Datos!$A$1:$H$256,7,FALSE)</f>
        <v>#N/A</v>
      </c>
      <c r="G265" s="12" t="e">
        <f>VLOOKUP(D265,Datos!$A$1:$H$256,8,FALSE)</f>
        <v>#N/A</v>
      </c>
      <c r="H265" s="4" t="s">
        <v>41</v>
      </c>
      <c r="I265" s="4" t="s">
        <v>103</v>
      </c>
      <c r="J265" s="12" t="s">
        <v>42</v>
      </c>
      <c r="K265" s="4" t="s">
        <v>90</v>
      </c>
      <c r="L265" s="4">
        <v>9</v>
      </c>
      <c r="M265" s="11">
        <f t="shared" si="35"/>
        <v>0.36</v>
      </c>
      <c r="N265" s="4">
        <v>2</v>
      </c>
      <c r="O265" s="11">
        <f t="shared" si="36"/>
        <v>0.2</v>
      </c>
      <c r="P265" s="4">
        <v>17</v>
      </c>
      <c r="Q265" s="11">
        <f t="shared" si="37"/>
        <v>0.48571428571428571</v>
      </c>
      <c r="R265" s="4">
        <v>10</v>
      </c>
      <c r="S265" s="11">
        <f t="shared" si="38"/>
        <v>0.33333333333333331</v>
      </c>
      <c r="T265" s="4">
        <f t="shared" si="39"/>
        <v>38</v>
      </c>
      <c r="U265" s="11">
        <f t="shared" si="40"/>
        <v>0.38</v>
      </c>
      <c r="V265" s="13" t="str">
        <f t="shared" si="41"/>
        <v>INGRESÓ</v>
      </c>
      <c r="W265" s="13" t="s">
        <v>88</v>
      </c>
      <c r="X265" s="14">
        <v>45745</v>
      </c>
      <c r="Y265" s="13" t="s">
        <v>96</v>
      </c>
      <c r="Z265" s="13" t="e">
        <f>VLOOKUP(D265,Datos!$A$1:$C$256,3,FALSE)</f>
        <v>#N/A</v>
      </c>
    </row>
    <row r="266" spans="1:26" hidden="1" x14ac:dyDescent="0.25">
      <c r="A266" s="4">
        <v>13</v>
      </c>
      <c r="B266" s="12" t="e">
        <f>VLOOKUP(D266,Datos!$A$1:$H$256,4,FALSE)</f>
        <v>#N/A</v>
      </c>
      <c r="C266" s="12" t="e">
        <f>VLOOKUP(D266,Datos!$A$1:$H$256,5,FALSE)</f>
        <v>#N/A</v>
      </c>
      <c r="D266" s="4">
        <v>77688097</v>
      </c>
      <c r="E266" s="12" t="e">
        <f>VLOOKUP(D266,Datos!$A$1:$H$256,6,FALSE)</f>
        <v>#N/A</v>
      </c>
      <c r="F266" s="12" t="e">
        <f>VLOOKUP(D266,Datos!$A$1:$H$256,7,FALSE)</f>
        <v>#N/A</v>
      </c>
      <c r="G266" s="12" t="e">
        <f>VLOOKUP(D266,Datos!$A$1:$H$256,8,FALSE)</f>
        <v>#N/A</v>
      </c>
      <c r="H266" s="4" t="s">
        <v>41</v>
      </c>
      <c r="I266" s="4" t="s">
        <v>50</v>
      </c>
      <c r="J266" s="12" t="s">
        <v>42</v>
      </c>
      <c r="K266" s="4" t="s">
        <v>90</v>
      </c>
      <c r="L266" s="4">
        <v>14</v>
      </c>
      <c r="M266" s="11">
        <f t="shared" si="35"/>
        <v>0.56000000000000005</v>
      </c>
      <c r="N266" s="4">
        <v>5</v>
      </c>
      <c r="O266" s="11">
        <f t="shared" si="36"/>
        <v>0.5</v>
      </c>
      <c r="P266" s="4">
        <v>7</v>
      </c>
      <c r="Q266" s="11">
        <f t="shared" si="37"/>
        <v>0.2</v>
      </c>
      <c r="R266" s="4">
        <v>7</v>
      </c>
      <c r="S266" s="11">
        <f t="shared" si="38"/>
        <v>0.23333333333333334</v>
      </c>
      <c r="T266" s="4">
        <f t="shared" si="39"/>
        <v>33</v>
      </c>
      <c r="U266" s="11">
        <f t="shared" si="40"/>
        <v>0.33</v>
      </c>
      <c r="V266" s="13" t="str">
        <f t="shared" si="41"/>
        <v>INGRESÓ</v>
      </c>
      <c r="W266" s="13" t="s">
        <v>88</v>
      </c>
      <c r="X266" s="14">
        <v>45745</v>
      </c>
      <c r="Y266" s="13" t="s">
        <v>96</v>
      </c>
      <c r="Z266" s="13" t="e">
        <f>VLOOKUP(D266,Datos!$A$1:$C$256,3,FALSE)</f>
        <v>#N/A</v>
      </c>
    </row>
    <row r="267" spans="1:26" hidden="1" x14ac:dyDescent="0.25">
      <c r="A267" s="4">
        <v>14</v>
      </c>
      <c r="B267" s="12" t="e">
        <f>VLOOKUP(D267,Datos!$A$1:$H$256,4,FALSE)</f>
        <v>#N/A</v>
      </c>
      <c r="C267" s="12" t="e">
        <f>VLOOKUP(D267,Datos!$A$1:$H$256,5,FALSE)</f>
        <v>#N/A</v>
      </c>
      <c r="D267" s="4">
        <v>21857648</v>
      </c>
      <c r="E267" s="12" t="e">
        <f>VLOOKUP(D267,Datos!$A$1:$H$256,6,FALSE)</f>
        <v>#N/A</v>
      </c>
      <c r="F267" s="12" t="e">
        <f>VLOOKUP(D267,Datos!$A$1:$H$256,7,FALSE)</f>
        <v>#N/A</v>
      </c>
      <c r="G267" s="12" t="e">
        <f>VLOOKUP(D267,Datos!$A$1:$H$256,8,FALSE)</f>
        <v>#N/A</v>
      </c>
      <c r="H267" s="4" t="s">
        <v>41</v>
      </c>
      <c r="I267" s="4" t="s">
        <v>50</v>
      </c>
      <c r="J267" s="12" t="s">
        <v>42</v>
      </c>
      <c r="K267" s="4" t="s">
        <v>90</v>
      </c>
      <c r="L267" s="4">
        <v>5</v>
      </c>
      <c r="M267" s="11">
        <f t="shared" si="35"/>
        <v>0.2</v>
      </c>
      <c r="N267" s="4">
        <v>2</v>
      </c>
      <c r="O267" s="11">
        <f t="shared" si="36"/>
        <v>0.2</v>
      </c>
      <c r="P267" s="4">
        <v>17</v>
      </c>
      <c r="Q267" s="11">
        <f t="shared" si="37"/>
        <v>0.48571428571428571</v>
      </c>
      <c r="R267" s="4">
        <v>11</v>
      </c>
      <c r="S267" s="11">
        <f t="shared" si="38"/>
        <v>0.36666666666666664</v>
      </c>
      <c r="T267" s="4">
        <f t="shared" si="39"/>
        <v>35</v>
      </c>
      <c r="U267" s="11">
        <f t="shared" si="40"/>
        <v>0.35</v>
      </c>
      <c r="V267" s="13" t="str">
        <f t="shared" si="41"/>
        <v>INGRESÓ</v>
      </c>
      <c r="W267" s="13" t="s">
        <v>88</v>
      </c>
      <c r="X267" s="14">
        <v>45745</v>
      </c>
      <c r="Y267" s="13" t="s">
        <v>96</v>
      </c>
      <c r="Z267" s="13" t="e">
        <f>VLOOKUP(D267,Datos!$A$1:$C$256,3,FALSE)</f>
        <v>#N/A</v>
      </c>
    </row>
    <row r="268" spans="1:26" hidden="1" x14ac:dyDescent="0.25">
      <c r="A268" s="4">
        <v>15</v>
      </c>
      <c r="B268" s="12" t="e">
        <f>VLOOKUP(D268,Datos!$A$1:$H$256,4,FALSE)</f>
        <v>#N/A</v>
      </c>
      <c r="C268" s="12" t="e">
        <f>VLOOKUP(D268,Datos!$A$1:$H$256,5,FALSE)</f>
        <v>#N/A</v>
      </c>
      <c r="D268" s="4">
        <v>60182633</v>
      </c>
      <c r="E268" s="12" t="e">
        <f>VLOOKUP(D268,Datos!$A$1:$H$256,6,FALSE)</f>
        <v>#N/A</v>
      </c>
      <c r="F268" s="12" t="e">
        <f>VLOOKUP(D268,Datos!$A$1:$H$256,7,FALSE)</f>
        <v>#N/A</v>
      </c>
      <c r="G268" s="12" t="e">
        <f>VLOOKUP(D268,Datos!$A$1:$H$256,8,FALSE)</f>
        <v>#N/A</v>
      </c>
      <c r="H268" s="4" t="s">
        <v>41</v>
      </c>
      <c r="I268" s="4" t="s">
        <v>50</v>
      </c>
      <c r="J268" s="12" t="s">
        <v>42</v>
      </c>
      <c r="K268" s="4" t="s">
        <v>90</v>
      </c>
      <c r="L268" s="4">
        <v>9</v>
      </c>
      <c r="M268" s="11">
        <f t="shared" si="35"/>
        <v>0.36</v>
      </c>
      <c r="N268" s="4">
        <v>3</v>
      </c>
      <c r="O268" s="11">
        <f t="shared" si="36"/>
        <v>0.3</v>
      </c>
      <c r="P268" s="4">
        <v>19</v>
      </c>
      <c r="Q268" s="11">
        <f t="shared" si="37"/>
        <v>0.54285714285714282</v>
      </c>
      <c r="R268" s="4">
        <v>13</v>
      </c>
      <c r="S268" s="11">
        <f t="shared" si="38"/>
        <v>0.43333333333333335</v>
      </c>
      <c r="T268" s="4">
        <f t="shared" si="39"/>
        <v>44</v>
      </c>
      <c r="U268" s="11">
        <f t="shared" si="40"/>
        <v>0.44</v>
      </c>
      <c r="V268" s="13" t="str">
        <f t="shared" si="41"/>
        <v>INGRESÓ</v>
      </c>
      <c r="W268" s="13" t="s">
        <v>88</v>
      </c>
      <c r="X268" s="14">
        <v>45745</v>
      </c>
      <c r="Y268" s="13" t="s">
        <v>96</v>
      </c>
      <c r="Z268" s="13" t="e">
        <f>VLOOKUP(D268,Datos!$A$1:$C$256,3,FALSE)</f>
        <v>#N/A</v>
      </c>
    </row>
    <row r="269" spans="1:26" hidden="1" x14ac:dyDescent="0.25">
      <c r="A269" s="4">
        <v>16</v>
      </c>
      <c r="B269" s="12" t="e">
        <f>VLOOKUP(D269,Datos!$A$1:$H$256,4,FALSE)</f>
        <v>#N/A</v>
      </c>
      <c r="C269" s="12" t="e">
        <f>VLOOKUP(D269,Datos!$A$1:$H$256,5,FALSE)</f>
        <v>#N/A</v>
      </c>
      <c r="D269" s="4">
        <v>61404794</v>
      </c>
      <c r="E269" s="12" t="e">
        <f>VLOOKUP(D269,Datos!$A$1:$H$256,6,FALSE)</f>
        <v>#N/A</v>
      </c>
      <c r="F269" s="12" t="e">
        <f>VLOOKUP(D269,Datos!$A$1:$H$256,7,FALSE)</f>
        <v>#N/A</v>
      </c>
      <c r="G269" s="12" t="e">
        <f>VLOOKUP(D269,Datos!$A$1:$H$256,8,FALSE)</f>
        <v>#N/A</v>
      </c>
      <c r="H269" s="4" t="s">
        <v>41</v>
      </c>
      <c r="I269" s="4" t="s">
        <v>103</v>
      </c>
      <c r="J269" s="12" t="s">
        <v>42</v>
      </c>
      <c r="K269" s="4" t="s">
        <v>90</v>
      </c>
      <c r="L269" s="4">
        <v>7</v>
      </c>
      <c r="M269" s="11">
        <f t="shared" si="35"/>
        <v>0.28000000000000003</v>
      </c>
      <c r="N269" s="4">
        <v>5</v>
      </c>
      <c r="O269" s="11">
        <f t="shared" si="36"/>
        <v>0.5</v>
      </c>
      <c r="P269" s="4">
        <v>13</v>
      </c>
      <c r="Q269" s="11">
        <f t="shared" si="37"/>
        <v>0.37142857142857144</v>
      </c>
      <c r="R269" s="4">
        <v>13</v>
      </c>
      <c r="S269" s="11">
        <f t="shared" si="38"/>
        <v>0.43333333333333335</v>
      </c>
      <c r="T269" s="4">
        <f t="shared" si="39"/>
        <v>38</v>
      </c>
      <c r="U269" s="11">
        <f t="shared" si="40"/>
        <v>0.38</v>
      </c>
      <c r="V269" s="13" t="str">
        <f t="shared" si="41"/>
        <v>INGRESÓ</v>
      </c>
      <c r="W269" s="13" t="s">
        <v>88</v>
      </c>
      <c r="X269" s="14">
        <v>45745</v>
      </c>
      <c r="Y269" s="13" t="s">
        <v>96</v>
      </c>
      <c r="Z269" s="13" t="e">
        <f>VLOOKUP(D269,Datos!$A$1:$C$256,3,FALSE)</f>
        <v>#N/A</v>
      </c>
    </row>
    <row r="270" spans="1:26" hidden="1" x14ac:dyDescent="0.25">
      <c r="A270" s="4">
        <v>17</v>
      </c>
      <c r="B270" s="12" t="e">
        <f>VLOOKUP(D270,Datos!$A$1:$H$256,4,FALSE)</f>
        <v>#N/A</v>
      </c>
      <c r="C270" s="12" t="e">
        <f>VLOOKUP(D270,Datos!$A$1:$H$256,5,FALSE)</f>
        <v>#N/A</v>
      </c>
      <c r="D270" s="4">
        <v>61298456</v>
      </c>
      <c r="E270" s="12" t="e">
        <f>VLOOKUP(D270,Datos!$A$1:$H$256,6,FALSE)</f>
        <v>#N/A</v>
      </c>
      <c r="F270" s="12" t="e">
        <f>VLOOKUP(D270,Datos!$A$1:$H$256,7,FALSE)</f>
        <v>#N/A</v>
      </c>
      <c r="G270" s="12" t="e">
        <f>VLOOKUP(D270,Datos!$A$1:$H$256,8,FALSE)</f>
        <v>#N/A</v>
      </c>
      <c r="H270" s="4" t="s">
        <v>41</v>
      </c>
      <c r="I270" s="4" t="s">
        <v>103</v>
      </c>
      <c r="J270" s="12" t="s">
        <v>42</v>
      </c>
      <c r="K270" s="4" t="s">
        <v>90</v>
      </c>
      <c r="L270" s="4">
        <v>5</v>
      </c>
      <c r="M270" s="11">
        <f t="shared" si="35"/>
        <v>0.2</v>
      </c>
      <c r="N270" s="4">
        <v>2</v>
      </c>
      <c r="O270" s="11">
        <f t="shared" si="36"/>
        <v>0.2</v>
      </c>
      <c r="P270" s="4">
        <v>18</v>
      </c>
      <c r="Q270" s="11">
        <f t="shared" si="37"/>
        <v>0.51428571428571423</v>
      </c>
      <c r="R270" s="4">
        <v>10</v>
      </c>
      <c r="S270" s="11">
        <f t="shared" si="38"/>
        <v>0.33333333333333331</v>
      </c>
      <c r="T270" s="4">
        <f t="shared" si="39"/>
        <v>35</v>
      </c>
      <c r="U270" s="11">
        <f t="shared" si="40"/>
        <v>0.35</v>
      </c>
      <c r="V270" s="13" t="str">
        <f t="shared" si="41"/>
        <v>INGRESÓ</v>
      </c>
      <c r="W270" s="13" t="s">
        <v>88</v>
      </c>
      <c r="X270" s="14">
        <v>45745</v>
      </c>
      <c r="Y270" s="13" t="s">
        <v>96</v>
      </c>
      <c r="Z270" s="13" t="e">
        <f>VLOOKUP(D270,Datos!$A$1:$C$256,3,FALSE)</f>
        <v>#N/A</v>
      </c>
    </row>
    <row r="271" spans="1:26" hidden="1" x14ac:dyDescent="0.25">
      <c r="A271" s="4">
        <v>18</v>
      </c>
      <c r="B271" s="12" t="e">
        <f>VLOOKUP(D271,Datos!$A$1:$H$256,4,FALSE)</f>
        <v>#N/A</v>
      </c>
      <c r="C271" s="12" t="e">
        <f>VLOOKUP(D271,Datos!$A$1:$H$256,5,FALSE)</f>
        <v>#N/A</v>
      </c>
      <c r="D271" s="4">
        <v>72498470</v>
      </c>
      <c r="E271" s="12" t="e">
        <f>VLOOKUP(D271,Datos!$A$1:$H$256,6,FALSE)</f>
        <v>#N/A</v>
      </c>
      <c r="F271" s="12" t="e">
        <f>VLOOKUP(D271,Datos!$A$1:$H$256,7,FALSE)</f>
        <v>#N/A</v>
      </c>
      <c r="G271" s="12" t="e">
        <f>VLOOKUP(D271,Datos!$A$1:$H$256,8,FALSE)</f>
        <v>#N/A</v>
      </c>
      <c r="H271" s="4" t="s">
        <v>41</v>
      </c>
      <c r="I271" s="4" t="s">
        <v>50</v>
      </c>
      <c r="J271" s="12" t="s">
        <v>42</v>
      </c>
      <c r="K271" s="4" t="s">
        <v>90</v>
      </c>
      <c r="L271" s="4">
        <v>4</v>
      </c>
      <c r="M271" s="11">
        <f t="shared" si="35"/>
        <v>0.16</v>
      </c>
      <c r="N271" s="4">
        <v>1</v>
      </c>
      <c r="O271" s="11">
        <f t="shared" si="36"/>
        <v>0.1</v>
      </c>
      <c r="P271" s="4">
        <v>5</v>
      </c>
      <c r="Q271" s="11">
        <f t="shared" si="37"/>
        <v>0.14285714285714285</v>
      </c>
      <c r="R271" s="4">
        <v>8</v>
      </c>
      <c r="S271" s="11">
        <f t="shared" si="38"/>
        <v>0.26666666666666666</v>
      </c>
      <c r="T271" s="4">
        <f t="shared" si="39"/>
        <v>18</v>
      </c>
      <c r="U271" s="11">
        <f t="shared" si="40"/>
        <v>0.18</v>
      </c>
      <c r="V271" s="13" t="str">
        <f t="shared" si="41"/>
        <v>INGRESÓ</v>
      </c>
      <c r="W271" s="13" t="s">
        <v>88</v>
      </c>
      <c r="X271" s="14">
        <v>45745</v>
      </c>
      <c r="Y271" s="13" t="s">
        <v>96</v>
      </c>
      <c r="Z271" s="13" t="e">
        <f>VLOOKUP(D271,Datos!$A$1:$C$256,3,FALSE)</f>
        <v>#N/A</v>
      </c>
    </row>
    <row r="272" spans="1:26" hidden="1" x14ac:dyDescent="0.25">
      <c r="A272" s="4">
        <v>19</v>
      </c>
      <c r="B272" s="12" t="e">
        <f>VLOOKUP(D272,Datos!$A$1:$H$256,4,FALSE)</f>
        <v>#N/A</v>
      </c>
      <c r="C272" s="12" t="e">
        <f>VLOOKUP(D272,Datos!$A$1:$H$256,5,FALSE)</f>
        <v>#N/A</v>
      </c>
      <c r="D272" s="4">
        <v>77904538</v>
      </c>
      <c r="E272" s="12" t="e">
        <f>VLOOKUP(D272,Datos!$A$1:$H$256,6,FALSE)</f>
        <v>#N/A</v>
      </c>
      <c r="F272" s="12" t="e">
        <f>VLOOKUP(D272,Datos!$A$1:$H$256,7,FALSE)</f>
        <v>#N/A</v>
      </c>
      <c r="G272" s="12" t="e">
        <f>VLOOKUP(D272,Datos!$A$1:$H$256,8,FALSE)</f>
        <v>#N/A</v>
      </c>
      <c r="H272" s="4" t="s">
        <v>41</v>
      </c>
      <c r="I272" s="4" t="s">
        <v>103</v>
      </c>
      <c r="J272" s="12" t="s">
        <v>42</v>
      </c>
      <c r="K272" s="4" t="s">
        <v>90</v>
      </c>
      <c r="L272" s="4">
        <v>7</v>
      </c>
      <c r="M272" s="11">
        <f t="shared" si="35"/>
        <v>0.28000000000000003</v>
      </c>
      <c r="N272" s="4">
        <v>2</v>
      </c>
      <c r="O272" s="11">
        <f t="shared" si="36"/>
        <v>0.2</v>
      </c>
      <c r="P272" s="4">
        <v>16</v>
      </c>
      <c r="Q272" s="11">
        <f t="shared" si="37"/>
        <v>0.45714285714285713</v>
      </c>
      <c r="R272" s="4">
        <v>5</v>
      </c>
      <c r="S272" s="11">
        <f t="shared" si="38"/>
        <v>0.16666666666666666</v>
      </c>
      <c r="T272" s="4">
        <f t="shared" si="39"/>
        <v>30</v>
      </c>
      <c r="U272" s="11">
        <f t="shared" si="40"/>
        <v>0.3</v>
      </c>
      <c r="V272" s="13" t="str">
        <f t="shared" si="41"/>
        <v>INGRESÓ</v>
      </c>
      <c r="W272" s="13" t="s">
        <v>88</v>
      </c>
      <c r="X272" s="14">
        <v>45745</v>
      </c>
      <c r="Y272" s="13" t="s">
        <v>96</v>
      </c>
      <c r="Z272" s="13" t="e">
        <f>VLOOKUP(D272,Datos!$A$1:$C$256,3,FALSE)</f>
        <v>#N/A</v>
      </c>
    </row>
    <row r="273" spans="1:26" hidden="1" x14ac:dyDescent="0.25">
      <c r="A273" s="4">
        <v>20</v>
      </c>
      <c r="B273" s="12" t="e">
        <f>VLOOKUP(D273,Datos!$A$1:$H$256,4,FALSE)</f>
        <v>#N/A</v>
      </c>
      <c r="C273" s="12" t="e">
        <f>VLOOKUP(D273,Datos!$A$1:$H$256,5,FALSE)</f>
        <v>#N/A</v>
      </c>
      <c r="D273" s="4">
        <v>73696182</v>
      </c>
      <c r="E273" s="12" t="e">
        <f>VLOOKUP(D273,Datos!$A$1:$H$256,6,FALSE)</f>
        <v>#N/A</v>
      </c>
      <c r="F273" s="12" t="e">
        <f>VLOOKUP(D273,Datos!$A$1:$H$256,7,FALSE)</f>
        <v>#N/A</v>
      </c>
      <c r="G273" s="12" t="e">
        <f>VLOOKUP(D273,Datos!$A$1:$H$256,8,FALSE)</f>
        <v>#N/A</v>
      </c>
      <c r="H273" s="4" t="s">
        <v>41</v>
      </c>
      <c r="I273" s="4" t="s">
        <v>103</v>
      </c>
      <c r="J273" s="12" t="s">
        <v>42</v>
      </c>
      <c r="K273" s="4" t="s">
        <v>90</v>
      </c>
      <c r="L273" s="4">
        <v>5</v>
      </c>
      <c r="M273" s="11">
        <f t="shared" si="35"/>
        <v>0.2</v>
      </c>
      <c r="N273" s="4">
        <v>2</v>
      </c>
      <c r="O273" s="11">
        <f t="shared" si="36"/>
        <v>0.2</v>
      </c>
      <c r="P273" s="4">
        <v>22</v>
      </c>
      <c r="Q273" s="11">
        <f t="shared" si="37"/>
        <v>0.62857142857142856</v>
      </c>
      <c r="R273" s="4">
        <v>10</v>
      </c>
      <c r="S273" s="11">
        <f t="shared" si="38"/>
        <v>0.33333333333333331</v>
      </c>
      <c r="T273" s="4">
        <f t="shared" si="39"/>
        <v>39</v>
      </c>
      <c r="U273" s="11">
        <f t="shared" si="40"/>
        <v>0.39</v>
      </c>
      <c r="V273" s="13" t="str">
        <f t="shared" si="41"/>
        <v>INGRESÓ</v>
      </c>
      <c r="W273" s="13" t="s">
        <v>88</v>
      </c>
      <c r="X273" s="14">
        <v>45745</v>
      </c>
      <c r="Y273" s="13" t="s">
        <v>96</v>
      </c>
      <c r="Z273" s="13" t="e">
        <f>VLOOKUP(D273,Datos!$A$1:$C$256,3,FALSE)</f>
        <v>#N/A</v>
      </c>
    </row>
    <row r="274" spans="1:26" hidden="1" x14ac:dyDescent="0.25">
      <c r="A274" s="4">
        <v>21</v>
      </c>
      <c r="B274" s="12" t="e">
        <f>VLOOKUP(D274,Datos!$A$1:$H$256,4,FALSE)</f>
        <v>#N/A</v>
      </c>
      <c r="C274" s="12" t="e">
        <f>VLOOKUP(D274,Datos!$A$1:$H$256,5,FALSE)</f>
        <v>#N/A</v>
      </c>
      <c r="D274" s="4">
        <v>61838949</v>
      </c>
      <c r="E274" s="12" t="e">
        <f>VLOOKUP(D274,Datos!$A$1:$H$256,6,FALSE)</f>
        <v>#N/A</v>
      </c>
      <c r="F274" s="12" t="e">
        <f>VLOOKUP(D274,Datos!$A$1:$H$256,7,FALSE)</f>
        <v>#N/A</v>
      </c>
      <c r="G274" s="12" t="e">
        <f>VLOOKUP(D274,Datos!$A$1:$H$256,8,FALSE)</f>
        <v>#N/A</v>
      </c>
      <c r="H274" s="4" t="s">
        <v>41</v>
      </c>
      <c r="I274" s="4" t="s">
        <v>50</v>
      </c>
      <c r="J274" s="12" t="s">
        <v>42</v>
      </c>
      <c r="K274" s="4" t="s">
        <v>90</v>
      </c>
      <c r="L274" s="4">
        <v>5</v>
      </c>
      <c r="M274" s="11">
        <f t="shared" si="35"/>
        <v>0.2</v>
      </c>
      <c r="N274" s="4">
        <v>4</v>
      </c>
      <c r="O274" s="11">
        <f t="shared" si="36"/>
        <v>0.4</v>
      </c>
      <c r="P274" s="4">
        <v>14</v>
      </c>
      <c r="Q274" s="11">
        <f t="shared" si="37"/>
        <v>0.4</v>
      </c>
      <c r="R274" s="4">
        <v>7</v>
      </c>
      <c r="S274" s="11">
        <f t="shared" si="38"/>
        <v>0.23333333333333334</v>
      </c>
      <c r="T274" s="4">
        <f t="shared" si="39"/>
        <v>30</v>
      </c>
      <c r="U274" s="11">
        <f t="shared" si="40"/>
        <v>0.3</v>
      </c>
      <c r="V274" s="13" t="str">
        <f t="shared" si="41"/>
        <v>INGRESÓ</v>
      </c>
      <c r="W274" s="13" t="s">
        <v>88</v>
      </c>
      <c r="X274" s="14">
        <v>45745</v>
      </c>
      <c r="Y274" s="13" t="s">
        <v>96</v>
      </c>
      <c r="Z274" s="13" t="e">
        <f>VLOOKUP(D274,Datos!$A$1:$C$256,3,FALSE)</f>
        <v>#N/A</v>
      </c>
    </row>
    <row r="275" spans="1:26" hidden="1" x14ac:dyDescent="0.25">
      <c r="A275" s="4">
        <v>22</v>
      </c>
      <c r="B275" s="12" t="e">
        <f>VLOOKUP(D275,Datos!$A$1:$H$256,4,FALSE)</f>
        <v>#N/A</v>
      </c>
      <c r="C275" s="12" t="e">
        <f>VLOOKUP(D275,Datos!$A$1:$H$256,5,FALSE)</f>
        <v>#N/A</v>
      </c>
      <c r="D275" s="4">
        <v>60807463</v>
      </c>
      <c r="E275" s="12" t="e">
        <f>VLOOKUP(D275,Datos!$A$1:$H$256,6,FALSE)</f>
        <v>#N/A</v>
      </c>
      <c r="F275" s="12" t="e">
        <f>VLOOKUP(D275,Datos!$A$1:$H$256,7,FALSE)</f>
        <v>#N/A</v>
      </c>
      <c r="G275" s="12" t="e">
        <f>VLOOKUP(D275,Datos!$A$1:$H$256,8,FALSE)</f>
        <v>#N/A</v>
      </c>
      <c r="H275" s="4" t="s">
        <v>41</v>
      </c>
      <c r="I275" s="4" t="s">
        <v>103</v>
      </c>
      <c r="J275" s="12" t="s">
        <v>42</v>
      </c>
      <c r="K275" s="4" t="s">
        <v>90</v>
      </c>
      <c r="L275" s="4">
        <v>10</v>
      </c>
      <c r="M275" s="11">
        <f t="shared" si="35"/>
        <v>0.4</v>
      </c>
      <c r="N275" s="4">
        <v>2</v>
      </c>
      <c r="O275" s="11">
        <f t="shared" si="36"/>
        <v>0.2</v>
      </c>
      <c r="P275" s="4">
        <v>13</v>
      </c>
      <c r="Q275" s="11">
        <f t="shared" si="37"/>
        <v>0.37142857142857144</v>
      </c>
      <c r="R275" s="4">
        <v>12</v>
      </c>
      <c r="S275" s="11">
        <f t="shared" si="38"/>
        <v>0.4</v>
      </c>
      <c r="T275" s="4">
        <f t="shared" si="39"/>
        <v>37</v>
      </c>
      <c r="U275" s="11">
        <f t="shared" si="40"/>
        <v>0.37</v>
      </c>
      <c r="V275" s="13" t="str">
        <f t="shared" si="41"/>
        <v>INGRESÓ</v>
      </c>
      <c r="W275" s="13" t="s">
        <v>88</v>
      </c>
      <c r="X275" s="14">
        <v>45745</v>
      </c>
      <c r="Y275" s="13" t="s">
        <v>96</v>
      </c>
      <c r="Z275" s="13" t="e">
        <f>VLOOKUP(D275,Datos!$A$1:$C$256,3,FALSE)</f>
        <v>#N/A</v>
      </c>
    </row>
    <row r="276" spans="1:26" hidden="1" x14ac:dyDescent="0.25">
      <c r="A276" s="4">
        <v>23</v>
      </c>
      <c r="B276" s="12" t="e">
        <f>VLOOKUP(D276,Datos!$A$1:$H$256,4,FALSE)</f>
        <v>#N/A</v>
      </c>
      <c r="C276" s="12" t="e">
        <f>VLOOKUP(D276,Datos!$A$1:$H$256,5,FALSE)</f>
        <v>#N/A</v>
      </c>
      <c r="D276" s="4">
        <v>60541648</v>
      </c>
      <c r="E276" s="12" t="e">
        <f>VLOOKUP(D276,Datos!$A$1:$H$256,6,FALSE)</f>
        <v>#N/A</v>
      </c>
      <c r="F276" s="12" t="e">
        <f>VLOOKUP(D276,Datos!$A$1:$H$256,7,FALSE)</f>
        <v>#N/A</v>
      </c>
      <c r="G276" s="12" t="e">
        <f>VLOOKUP(D276,Datos!$A$1:$H$256,8,FALSE)</f>
        <v>#N/A</v>
      </c>
      <c r="H276" s="4" t="s">
        <v>41</v>
      </c>
      <c r="I276" s="4" t="s">
        <v>50</v>
      </c>
      <c r="J276" s="12" t="s">
        <v>42</v>
      </c>
      <c r="K276" s="4" t="s">
        <v>90</v>
      </c>
      <c r="L276" s="4">
        <v>14</v>
      </c>
      <c r="M276" s="11">
        <f t="shared" si="35"/>
        <v>0.56000000000000005</v>
      </c>
      <c r="N276" s="4">
        <v>2</v>
      </c>
      <c r="O276" s="11">
        <f t="shared" si="36"/>
        <v>0.2</v>
      </c>
      <c r="P276" s="4">
        <v>27</v>
      </c>
      <c r="Q276" s="11">
        <f t="shared" si="37"/>
        <v>0.77142857142857146</v>
      </c>
      <c r="R276" s="4">
        <v>16</v>
      </c>
      <c r="S276" s="11">
        <f t="shared" si="38"/>
        <v>0.53333333333333333</v>
      </c>
      <c r="T276" s="4">
        <f t="shared" si="39"/>
        <v>59</v>
      </c>
      <c r="U276" s="11">
        <f t="shared" si="40"/>
        <v>0.59</v>
      </c>
      <c r="V276" s="13" t="str">
        <f t="shared" si="41"/>
        <v>INGRESÓ</v>
      </c>
      <c r="W276" s="13" t="s">
        <v>88</v>
      </c>
      <c r="X276" s="14">
        <v>45745</v>
      </c>
      <c r="Y276" s="13" t="s">
        <v>96</v>
      </c>
      <c r="Z276" s="13" t="e">
        <f>VLOOKUP(D276,Datos!$A$1:$C$256,3,FALSE)</f>
        <v>#N/A</v>
      </c>
    </row>
    <row r="277" spans="1:26" hidden="1" x14ac:dyDescent="0.25">
      <c r="A277" s="4">
        <v>24</v>
      </c>
      <c r="B277" s="12" t="e">
        <f>VLOOKUP(D277,Datos!$A$1:$H$256,4,FALSE)</f>
        <v>#N/A</v>
      </c>
      <c r="C277" s="12" t="e">
        <f>VLOOKUP(D277,Datos!$A$1:$H$256,5,FALSE)</f>
        <v>#N/A</v>
      </c>
      <c r="D277" s="4">
        <v>61072448</v>
      </c>
      <c r="E277" s="12" t="e">
        <f>VLOOKUP(D277,Datos!$A$1:$H$256,6,FALSE)</f>
        <v>#N/A</v>
      </c>
      <c r="F277" s="12" t="e">
        <f>VLOOKUP(D277,Datos!$A$1:$H$256,7,FALSE)</f>
        <v>#N/A</v>
      </c>
      <c r="G277" s="12" t="e">
        <f>VLOOKUP(D277,Datos!$A$1:$H$256,8,FALSE)</f>
        <v>#N/A</v>
      </c>
      <c r="H277" s="4" t="s">
        <v>41</v>
      </c>
      <c r="I277" s="4" t="s">
        <v>50</v>
      </c>
      <c r="J277" s="12" t="s">
        <v>42</v>
      </c>
      <c r="K277" s="4" t="s">
        <v>90</v>
      </c>
      <c r="L277" s="4">
        <v>6</v>
      </c>
      <c r="M277" s="11">
        <f t="shared" si="35"/>
        <v>0.24</v>
      </c>
      <c r="N277" s="4">
        <v>2</v>
      </c>
      <c r="O277" s="11">
        <f t="shared" si="36"/>
        <v>0.2</v>
      </c>
      <c r="P277" s="4">
        <v>10</v>
      </c>
      <c r="Q277" s="11">
        <f t="shared" si="37"/>
        <v>0.2857142857142857</v>
      </c>
      <c r="R277" s="4">
        <v>6</v>
      </c>
      <c r="S277" s="11">
        <f t="shared" si="38"/>
        <v>0.2</v>
      </c>
      <c r="T277" s="4">
        <f t="shared" si="39"/>
        <v>24</v>
      </c>
      <c r="U277" s="11">
        <f t="shared" si="40"/>
        <v>0.24</v>
      </c>
      <c r="V277" s="13" t="str">
        <f t="shared" si="41"/>
        <v>INGRESÓ</v>
      </c>
      <c r="W277" s="13" t="s">
        <v>88</v>
      </c>
      <c r="X277" s="14">
        <v>45745</v>
      </c>
      <c r="Y277" s="13" t="s">
        <v>96</v>
      </c>
      <c r="Z277" s="13" t="e">
        <f>VLOOKUP(D277,Datos!$A$1:$C$256,3,FALSE)</f>
        <v>#N/A</v>
      </c>
    </row>
    <row r="278" spans="1:26" hidden="1" x14ac:dyDescent="0.25">
      <c r="A278" s="4">
        <v>25</v>
      </c>
      <c r="B278" s="12" t="e">
        <f>VLOOKUP(D278,Datos!$A$1:$H$256,4,FALSE)</f>
        <v>#N/A</v>
      </c>
      <c r="C278" s="12" t="e">
        <f>VLOOKUP(D278,Datos!$A$1:$H$256,5,FALSE)</f>
        <v>#N/A</v>
      </c>
      <c r="D278" s="4">
        <v>75795322</v>
      </c>
      <c r="E278" s="12" t="e">
        <f>VLOOKUP(D278,Datos!$A$1:$H$256,6,FALSE)</f>
        <v>#N/A</v>
      </c>
      <c r="F278" s="12" t="e">
        <f>VLOOKUP(D278,Datos!$A$1:$H$256,7,FALSE)</f>
        <v>#N/A</v>
      </c>
      <c r="G278" s="12" t="e">
        <f>VLOOKUP(D278,Datos!$A$1:$H$256,8,FALSE)</f>
        <v>#N/A</v>
      </c>
      <c r="H278" s="4" t="s">
        <v>41</v>
      </c>
      <c r="I278" s="4" t="s">
        <v>103</v>
      </c>
      <c r="J278" s="12" t="s">
        <v>42</v>
      </c>
      <c r="K278" s="4" t="s">
        <v>90</v>
      </c>
      <c r="L278" s="4">
        <v>11</v>
      </c>
      <c r="M278" s="11">
        <f t="shared" si="35"/>
        <v>0.44</v>
      </c>
      <c r="N278" s="4">
        <v>5</v>
      </c>
      <c r="O278" s="11">
        <f t="shared" si="36"/>
        <v>0.5</v>
      </c>
      <c r="P278" s="4">
        <v>19</v>
      </c>
      <c r="Q278" s="11">
        <f t="shared" si="37"/>
        <v>0.54285714285714282</v>
      </c>
      <c r="R278" s="4">
        <v>13</v>
      </c>
      <c r="S278" s="11">
        <f t="shared" si="38"/>
        <v>0.43333333333333335</v>
      </c>
      <c r="T278" s="4">
        <f t="shared" si="39"/>
        <v>48</v>
      </c>
      <c r="U278" s="11">
        <f t="shared" si="40"/>
        <v>0.48</v>
      </c>
      <c r="V278" s="13" t="str">
        <f t="shared" si="41"/>
        <v>INGRESÓ</v>
      </c>
      <c r="W278" s="13" t="s">
        <v>88</v>
      </c>
      <c r="X278" s="14">
        <v>45745</v>
      </c>
      <c r="Y278" s="13" t="s">
        <v>96</v>
      </c>
      <c r="Z278" s="13" t="e">
        <f>VLOOKUP(D278,Datos!$A$1:$C$256,3,FALSE)</f>
        <v>#N/A</v>
      </c>
    </row>
  </sheetData>
  <autoFilter ref="A1:Z278" xr:uid="{DDF8A5AB-C055-4331-A0C6-4F065C6E76D1}">
    <filterColumn colId="8">
      <filters>
        <filter val="ENFERMERIA"/>
      </filters>
    </filterColumn>
  </autoFilter>
  <conditionalFormatting sqref="D2:D69">
    <cfRule type="duplicateValues" dxfId="12" priority="15"/>
  </conditionalFormatting>
  <conditionalFormatting sqref="D70:D253">
    <cfRule type="duplicateValues" dxfId="11" priority="14"/>
  </conditionalFormatting>
  <conditionalFormatting sqref="D254:D278">
    <cfRule type="duplicateValues" dxfId="10" priority="1"/>
  </conditionalFormatting>
  <conditionalFormatting sqref="M2:M278">
    <cfRule type="cellIs" dxfId="9" priority="10" operator="lessThanOrEqual">
      <formula>0.5</formula>
    </cfRule>
    <cfRule type="cellIs" dxfId="8" priority="11" operator="greaterThan">
      <formula>0.5</formula>
    </cfRule>
  </conditionalFormatting>
  <conditionalFormatting sqref="O2:O278">
    <cfRule type="cellIs" dxfId="7" priority="8" operator="lessThanOrEqual">
      <formula>0.5</formula>
    </cfRule>
    <cfRule type="cellIs" dxfId="6" priority="9" operator="greaterThan">
      <formula>0.5</formula>
    </cfRule>
  </conditionalFormatting>
  <conditionalFormatting sqref="Q2:Q278">
    <cfRule type="cellIs" dxfId="5" priority="6" operator="lessThanOrEqual">
      <formula>0.5</formula>
    </cfRule>
    <cfRule type="cellIs" dxfId="4" priority="7" operator="greaterThan">
      <formula>0.5</formula>
    </cfRule>
  </conditionalFormatting>
  <conditionalFormatting sqref="S2:S278">
    <cfRule type="cellIs" dxfId="3" priority="4" operator="lessThanOrEqual">
      <formula>0.5</formula>
    </cfRule>
    <cfRule type="cellIs" dxfId="2" priority="5" operator="greaterThan">
      <formula>0.5</formula>
    </cfRule>
  </conditionalFormatting>
  <conditionalFormatting sqref="U2:U278">
    <cfRule type="cellIs" dxfId="1" priority="2" operator="lessThanOrEqual">
      <formula>0.5</formula>
    </cfRule>
    <cfRule type="cellIs" dxfId="0" priority="3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9313-4CBA-4915-8818-A1B2285DA05A}">
  <dimension ref="A5:R24"/>
  <sheetViews>
    <sheetView topLeftCell="C1" workbookViewId="0">
      <selection activeCell="I30" sqref="I30"/>
    </sheetView>
  </sheetViews>
  <sheetFormatPr baseColWidth="10" defaultRowHeight="15" x14ac:dyDescent="0.25"/>
  <cols>
    <col min="1" max="1" width="3.140625" bestFit="1" customWidth="1"/>
    <col min="2" max="2" width="30.42578125" bestFit="1" customWidth="1"/>
    <col min="3" max="3" width="26" bestFit="1" customWidth="1"/>
    <col min="5" max="5" width="0" hidden="1" customWidth="1"/>
    <col min="6" max="6" width="19" customWidth="1"/>
    <col min="7" max="7" width="14.28515625" customWidth="1"/>
    <col min="9" max="9" width="18.5703125" customWidth="1"/>
    <col min="11" max="11" width="19.85546875" customWidth="1"/>
    <col min="13" max="13" width="19.85546875" customWidth="1"/>
    <col min="15" max="15" width="19.140625" customWidth="1"/>
    <col min="16" max="16" width="12.85546875" customWidth="1"/>
  </cols>
  <sheetData>
    <row r="5" spans="1:18" s="9" customFormat="1" x14ac:dyDescent="0.25">
      <c r="A5" s="78" t="s">
        <v>0</v>
      </c>
      <c r="B5" s="78" t="s">
        <v>1</v>
      </c>
      <c r="C5" s="78" t="s">
        <v>2</v>
      </c>
      <c r="D5" s="78" t="s">
        <v>3</v>
      </c>
      <c r="E5" s="78" t="s">
        <v>37</v>
      </c>
      <c r="F5" s="78" t="s">
        <v>4</v>
      </c>
      <c r="G5" s="78" t="s">
        <v>5</v>
      </c>
      <c r="H5" s="82" t="s">
        <v>6</v>
      </c>
      <c r="I5" s="2" t="s">
        <v>7</v>
      </c>
      <c r="J5" s="78" t="s">
        <v>8</v>
      </c>
      <c r="K5" s="2" t="s">
        <v>9</v>
      </c>
      <c r="L5" s="78" t="s">
        <v>8</v>
      </c>
      <c r="M5" s="2" t="s">
        <v>10</v>
      </c>
      <c r="N5" s="78" t="s">
        <v>8</v>
      </c>
      <c r="O5" s="2" t="s">
        <v>11</v>
      </c>
      <c r="P5" s="78" t="s">
        <v>8</v>
      </c>
      <c r="Q5" s="2" t="s">
        <v>12</v>
      </c>
      <c r="R5" s="81" t="s">
        <v>8</v>
      </c>
    </row>
    <row r="6" spans="1:18" s="9" customFormat="1" x14ac:dyDescent="0.25">
      <c r="A6" s="79"/>
      <c r="B6" s="79"/>
      <c r="C6" s="79"/>
      <c r="D6" s="79"/>
      <c r="E6" s="79"/>
      <c r="F6" s="79"/>
      <c r="G6" s="79"/>
      <c r="H6" s="83"/>
      <c r="I6" s="3" t="s">
        <v>13</v>
      </c>
      <c r="J6" s="79"/>
      <c r="K6" s="3" t="s">
        <v>14</v>
      </c>
      <c r="L6" s="79"/>
      <c r="M6" s="3" t="s">
        <v>15</v>
      </c>
      <c r="N6" s="79"/>
      <c r="O6" s="3" t="s">
        <v>16</v>
      </c>
      <c r="P6" s="79"/>
      <c r="Q6" s="3" t="s">
        <v>17</v>
      </c>
      <c r="R6" s="81"/>
    </row>
    <row r="7" spans="1:18" s="9" customFormat="1" x14ac:dyDescent="0.25">
      <c r="A7" s="4">
        <v>1</v>
      </c>
      <c r="B7" s="4" t="s">
        <v>57</v>
      </c>
      <c r="C7" s="4" t="s">
        <v>58</v>
      </c>
      <c r="D7" s="4">
        <v>75054959</v>
      </c>
      <c r="E7" s="4"/>
      <c r="F7" s="4" t="s">
        <v>55</v>
      </c>
      <c r="G7" s="4" t="s">
        <v>56</v>
      </c>
      <c r="H7" s="4"/>
      <c r="I7" s="4">
        <v>6</v>
      </c>
      <c r="J7" s="11">
        <f>IF(I7="","",(I7/25))</f>
        <v>0.24</v>
      </c>
      <c r="K7" s="4">
        <v>8</v>
      </c>
      <c r="L7" s="11">
        <f>IF(K7="","",(K7/10))</f>
        <v>0.8</v>
      </c>
      <c r="M7" s="4">
        <v>14</v>
      </c>
      <c r="N7" s="11">
        <f>IF(M7="","",(M7/50))</f>
        <v>0.28000000000000003</v>
      </c>
      <c r="O7" s="4">
        <v>9</v>
      </c>
      <c r="P7" s="11">
        <f>IF(O7="","",(O7/15))</f>
        <v>0.6</v>
      </c>
      <c r="Q7" s="4">
        <f>SUM(I7,K7,M7,O7)</f>
        <v>37</v>
      </c>
      <c r="R7" s="11">
        <f>IF(Q7="","",(Q7/100))</f>
        <v>0.37</v>
      </c>
    </row>
    <row r="8" spans="1:18" s="9" customFormat="1" x14ac:dyDescent="0.25">
      <c r="A8" s="4">
        <v>2</v>
      </c>
      <c r="B8" s="4" t="s">
        <v>63</v>
      </c>
      <c r="C8" s="4" t="s">
        <v>73</v>
      </c>
      <c r="D8" s="4">
        <v>71717000</v>
      </c>
      <c r="E8" s="4"/>
      <c r="F8" s="4" t="s">
        <v>55</v>
      </c>
      <c r="G8" s="4" t="s">
        <v>56</v>
      </c>
      <c r="H8" s="4"/>
      <c r="I8" s="4">
        <v>15</v>
      </c>
      <c r="J8" s="11">
        <f>IF(I8="","",(I8/25))</f>
        <v>0.6</v>
      </c>
      <c r="K8" s="4">
        <v>10</v>
      </c>
      <c r="L8" s="11">
        <f>IF(K8="","",(K8/10))</f>
        <v>1</v>
      </c>
      <c r="M8" s="4">
        <v>33</v>
      </c>
      <c r="N8" s="11">
        <f>IF(M8="","",(M8/50))</f>
        <v>0.66</v>
      </c>
      <c r="O8" s="4">
        <v>13</v>
      </c>
      <c r="P8" s="11">
        <f>IF(O8="","",(O8/15))</f>
        <v>0.8666666666666667</v>
      </c>
      <c r="Q8" s="4">
        <f>SUM(I8,K8,M8,O8)</f>
        <v>71</v>
      </c>
      <c r="R8" s="11">
        <f>IF(Q8="","",(Q8/100))</f>
        <v>0.71</v>
      </c>
    </row>
    <row r="9" spans="1:18" s="9" customFormat="1" x14ac:dyDescent="0.25"/>
    <row r="10" spans="1:18" s="9" customFormat="1" ht="41.25" customHeight="1" x14ac:dyDescent="0.25">
      <c r="A10" s="78" t="s">
        <v>0</v>
      </c>
      <c r="B10" s="78" t="s">
        <v>1</v>
      </c>
      <c r="C10" s="78" t="s">
        <v>2</v>
      </c>
      <c r="D10" s="78" t="s">
        <v>3</v>
      </c>
      <c r="E10" s="78" t="s">
        <v>37</v>
      </c>
      <c r="F10" s="78" t="s">
        <v>4</v>
      </c>
      <c r="G10" s="78" t="s">
        <v>5</v>
      </c>
      <c r="H10" s="82" t="s">
        <v>6</v>
      </c>
      <c r="I10" s="6" t="s">
        <v>7</v>
      </c>
      <c r="J10" s="80" t="s">
        <v>8</v>
      </c>
      <c r="K10" s="6" t="s">
        <v>9</v>
      </c>
      <c r="L10" s="80" t="s">
        <v>8</v>
      </c>
      <c r="M10" s="6" t="s">
        <v>10</v>
      </c>
      <c r="N10" s="80" t="s">
        <v>8</v>
      </c>
      <c r="O10" s="6" t="s">
        <v>11</v>
      </c>
      <c r="P10" s="80" t="s">
        <v>8</v>
      </c>
      <c r="Q10" s="6" t="s">
        <v>12</v>
      </c>
      <c r="R10" s="80" t="s">
        <v>8</v>
      </c>
    </row>
    <row r="11" spans="1:18" s="9" customFormat="1" x14ac:dyDescent="0.25">
      <c r="A11" s="79"/>
      <c r="B11" s="79"/>
      <c r="C11" s="79"/>
      <c r="D11" s="79"/>
      <c r="E11" s="79"/>
      <c r="F11" s="79"/>
      <c r="G11" s="79"/>
      <c r="H11" s="83"/>
      <c r="I11" s="6" t="s">
        <v>13</v>
      </c>
      <c r="J11" s="80"/>
      <c r="K11" s="6" t="s">
        <v>14</v>
      </c>
      <c r="L11" s="80"/>
      <c r="M11" s="6" t="s">
        <v>24</v>
      </c>
      <c r="N11" s="80"/>
      <c r="O11" s="6" t="s">
        <v>25</v>
      </c>
      <c r="P11" s="80"/>
      <c r="Q11" s="6" t="s">
        <v>17</v>
      </c>
      <c r="R11" s="80"/>
    </row>
    <row r="12" spans="1:18" s="10" customFormat="1" x14ac:dyDescent="0.25">
      <c r="A12" s="4">
        <v>1</v>
      </c>
      <c r="B12" s="4" t="s">
        <v>49</v>
      </c>
      <c r="C12" s="4" t="s">
        <v>48</v>
      </c>
      <c r="D12" s="4">
        <v>46161161</v>
      </c>
      <c r="E12" s="4"/>
      <c r="F12" s="4" t="s">
        <v>30</v>
      </c>
      <c r="G12" s="4" t="s">
        <v>56</v>
      </c>
      <c r="H12" s="4"/>
      <c r="I12" s="4">
        <v>4</v>
      </c>
      <c r="J12" s="11">
        <f>IF(I12="","",(I12/25))</f>
        <v>0.16</v>
      </c>
      <c r="K12" s="4">
        <v>5</v>
      </c>
      <c r="L12" s="11">
        <f>IF(K12="","",(K12/10))</f>
        <v>0.5</v>
      </c>
      <c r="M12" s="4">
        <v>9</v>
      </c>
      <c r="N12" s="11">
        <f>IF(M12="","",(M12/35))</f>
        <v>0.25714285714285712</v>
      </c>
      <c r="O12" s="4">
        <v>5</v>
      </c>
      <c r="P12" s="11">
        <f>IF(O12="","",(O12/30))</f>
        <v>0.16666666666666666</v>
      </c>
      <c r="Q12" s="4">
        <f>SUM(I12,K12,M12,O12)</f>
        <v>23</v>
      </c>
      <c r="R12" s="11">
        <f>IF(Q12="","",(Q12/100))</f>
        <v>0.23</v>
      </c>
    </row>
    <row r="13" spans="1:18" s="10" customFormat="1" x14ac:dyDescent="0.25">
      <c r="A13" s="4">
        <v>2</v>
      </c>
      <c r="B13" s="4" t="s">
        <v>54</v>
      </c>
      <c r="C13" s="4" t="s">
        <v>53</v>
      </c>
      <c r="D13" s="4">
        <v>60474480</v>
      </c>
      <c r="E13" s="4"/>
      <c r="F13" s="4" t="s">
        <v>30</v>
      </c>
      <c r="G13" s="4" t="s">
        <v>56</v>
      </c>
      <c r="H13" s="4"/>
      <c r="I13" s="4">
        <v>5</v>
      </c>
      <c r="J13" s="11">
        <f t="shared" ref="J13:J19" si="0">IF(I13="","",(I13/25))</f>
        <v>0.2</v>
      </c>
      <c r="K13" s="4">
        <v>10</v>
      </c>
      <c r="L13" s="11">
        <f t="shared" ref="L13:L19" si="1">IF(K13="","",(K13/10))</f>
        <v>1</v>
      </c>
      <c r="M13" s="4">
        <v>8</v>
      </c>
      <c r="N13" s="11">
        <f t="shared" ref="N13:N19" si="2">IF(M13="","",(M13/35))</f>
        <v>0.22857142857142856</v>
      </c>
      <c r="O13" s="4">
        <v>3</v>
      </c>
      <c r="P13" s="11">
        <f t="shared" ref="P13:P19" si="3">IF(O13="","",(O13/30))</f>
        <v>0.1</v>
      </c>
      <c r="Q13" s="4">
        <f t="shared" ref="Q13:Q19" si="4">SUM(I13,K13,M13,O13)</f>
        <v>26</v>
      </c>
      <c r="R13" s="11">
        <f t="shared" ref="R13:R19" si="5">IF(Q13="","",(Q13/100))</f>
        <v>0.26</v>
      </c>
    </row>
    <row r="14" spans="1:18" s="10" customFormat="1" x14ac:dyDescent="0.25">
      <c r="A14" s="4">
        <v>3</v>
      </c>
      <c r="B14" s="4" t="s">
        <v>60</v>
      </c>
      <c r="C14" s="4" t="s">
        <v>59</v>
      </c>
      <c r="D14" s="4">
        <v>75054960</v>
      </c>
      <c r="E14" s="4"/>
      <c r="F14" s="4" t="s">
        <v>30</v>
      </c>
      <c r="G14" s="4" t="s">
        <v>56</v>
      </c>
      <c r="H14" s="4"/>
      <c r="I14" s="4">
        <v>5</v>
      </c>
      <c r="J14" s="11">
        <f t="shared" si="0"/>
        <v>0.2</v>
      </c>
      <c r="K14" s="4">
        <v>8</v>
      </c>
      <c r="L14" s="11">
        <f t="shared" si="1"/>
        <v>0.8</v>
      </c>
      <c r="M14" s="4">
        <v>9</v>
      </c>
      <c r="N14" s="11">
        <f t="shared" si="2"/>
        <v>0.25714285714285712</v>
      </c>
      <c r="O14" s="4">
        <v>8</v>
      </c>
      <c r="P14" s="11">
        <f t="shared" si="3"/>
        <v>0.26666666666666666</v>
      </c>
      <c r="Q14" s="4">
        <f t="shared" si="4"/>
        <v>30</v>
      </c>
      <c r="R14" s="11">
        <f t="shared" si="5"/>
        <v>0.3</v>
      </c>
    </row>
    <row r="15" spans="1:18" s="10" customFormat="1" x14ac:dyDescent="0.25">
      <c r="A15" s="4">
        <v>4</v>
      </c>
      <c r="B15" s="4" t="s">
        <v>66</v>
      </c>
      <c r="C15" s="4" t="s">
        <v>65</v>
      </c>
      <c r="D15" s="4">
        <v>60971179</v>
      </c>
      <c r="E15" s="4"/>
      <c r="F15" s="4" t="s">
        <v>30</v>
      </c>
      <c r="G15" s="4" t="s">
        <v>56</v>
      </c>
      <c r="H15" s="4"/>
      <c r="I15" s="4">
        <v>3</v>
      </c>
      <c r="J15" s="11">
        <f t="shared" si="0"/>
        <v>0.12</v>
      </c>
      <c r="K15" s="4">
        <v>8</v>
      </c>
      <c r="L15" s="11">
        <f t="shared" si="1"/>
        <v>0.8</v>
      </c>
      <c r="M15" s="4">
        <v>10</v>
      </c>
      <c r="N15" s="11">
        <f t="shared" si="2"/>
        <v>0.2857142857142857</v>
      </c>
      <c r="O15" s="4">
        <v>3</v>
      </c>
      <c r="P15" s="11">
        <f t="shared" si="3"/>
        <v>0.1</v>
      </c>
      <c r="Q15" s="4">
        <f t="shared" si="4"/>
        <v>24</v>
      </c>
      <c r="R15" s="11">
        <f t="shared" si="5"/>
        <v>0.24</v>
      </c>
    </row>
    <row r="16" spans="1:18" s="10" customFormat="1" x14ac:dyDescent="0.25">
      <c r="A16" s="4">
        <v>5</v>
      </c>
      <c r="B16" s="4" t="s">
        <v>74</v>
      </c>
      <c r="C16" s="4" t="s">
        <v>67</v>
      </c>
      <c r="D16" s="4">
        <v>61922069</v>
      </c>
      <c r="E16" s="4"/>
      <c r="F16" s="4" t="s">
        <v>30</v>
      </c>
      <c r="G16" s="4" t="s">
        <v>56</v>
      </c>
      <c r="H16" s="4"/>
      <c r="I16" s="4">
        <v>9</v>
      </c>
      <c r="J16" s="11">
        <f t="shared" si="0"/>
        <v>0.36</v>
      </c>
      <c r="K16" s="4">
        <v>10</v>
      </c>
      <c r="L16" s="11">
        <f t="shared" si="1"/>
        <v>1</v>
      </c>
      <c r="M16" s="4">
        <v>7</v>
      </c>
      <c r="N16" s="11">
        <f t="shared" si="2"/>
        <v>0.2</v>
      </c>
      <c r="O16" s="4">
        <v>8</v>
      </c>
      <c r="P16" s="11">
        <f t="shared" si="3"/>
        <v>0.26666666666666666</v>
      </c>
      <c r="Q16" s="4">
        <f t="shared" si="4"/>
        <v>34</v>
      </c>
      <c r="R16" s="11">
        <f t="shared" si="5"/>
        <v>0.34</v>
      </c>
    </row>
    <row r="17" spans="1:18" s="10" customFormat="1" x14ac:dyDescent="0.25">
      <c r="A17" s="4">
        <v>6</v>
      </c>
      <c r="B17" s="4" t="s">
        <v>75</v>
      </c>
      <c r="C17" s="4" t="s">
        <v>69</v>
      </c>
      <c r="D17" s="4">
        <v>61281161</v>
      </c>
      <c r="E17" s="4"/>
      <c r="F17" s="4" t="s">
        <v>30</v>
      </c>
      <c r="G17" s="4" t="s">
        <v>56</v>
      </c>
      <c r="H17" s="4"/>
      <c r="I17" s="4">
        <v>7</v>
      </c>
      <c r="J17" s="11">
        <f t="shared" si="0"/>
        <v>0.28000000000000003</v>
      </c>
      <c r="K17" s="4">
        <v>8</v>
      </c>
      <c r="L17" s="11">
        <f t="shared" si="1"/>
        <v>0.8</v>
      </c>
      <c r="M17" s="4">
        <v>9</v>
      </c>
      <c r="N17" s="11">
        <f t="shared" si="2"/>
        <v>0.25714285714285712</v>
      </c>
      <c r="O17" s="4">
        <v>8</v>
      </c>
      <c r="P17" s="11">
        <f t="shared" si="3"/>
        <v>0.26666666666666666</v>
      </c>
      <c r="Q17" s="4">
        <f t="shared" si="4"/>
        <v>32</v>
      </c>
      <c r="R17" s="11">
        <f t="shared" si="5"/>
        <v>0.32</v>
      </c>
    </row>
    <row r="18" spans="1:18" s="10" customFormat="1" x14ac:dyDescent="0.25">
      <c r="A18" s="4">
        <v>7</v>
      </c>
      <c r="B18" s="4" t="s">
        <v>72</v>
      </c>
      <c r="C18" s="4" t="s">
        <v>71</v>
      </c>
      <c r="D18" s="4">
        <v>72350542</v>
      </c>
      <c r="E18" s="4"/>
      <c r="F18" s="4" t="s">
        <v>30</v>
      </c>
      <c r="G18" s="4" t="s">
        <v>56</v>
      </c>
      <c r="H18" s="4"/>
      <c r="I18" s="4">
        <v>8</v>
      </c>
      <c r="J18" s="11">
        <f t="shared" si="0"/>
        <v>0.32</v>
      </c>
      <c r="K18" s="4">
        <v>6</v>
      </c>
      <c r="L18" s="11">
        <f t="shared" si="1"/>
        <v>0.6</v>
      </c>
      <c r="M18" s="4">
        <v>12</v>
      </c>
      <c r="N18" s="11">
        <f t="shared" si="2"/>
        <v>0.34285714285714286</v>
      </c>
      <c r="O18" s="4">
        <v>7</v>
      </c>
      <c r="P18" s="11">
        <f t="shared" si="3"/>
        <v>0.23333333333333334</v>
      </c>
      <c r="Q18" s="4">
        <f t="shared" si="4"/>
        <v>33</v>
      </c>
      <c r="R18" s="11">
        <f t="shared" si="5"/>
        <v>0.33</v>
      </c>
    </row>
    <row r="19" spans="1:18" s="10" customFormat="1" x14ac:dyDescent="0.25">
      <c r="A19" s="4">
        <v>8</v>
      </c>
      <c r="B19" s="4" t="s">
        <v>47</v>
      </c>
      <c r="C19" s="4" t="s">
        <v>46</v>
      </c>
      <c r="D19" s="4">
        <v>61086522</v>
      </c>
      <c r="E19" s="4"/>
      <c r="F19" s="4" t="s">
        <v>34</v>
      </c>
      <c r="G19" s="4" t="s">
        <v>56</v>
      </c>
      <c r="H19" s="4"/>
      <c r="I19" s="4">
        <v>7</v>
      </c>
      <c r="J19" s="11">
        <f t="shared" si="0"/>
        <v>0.28000000000000003</v>
      </c>
      <c r="K19" s="4">
        <v>10</v>
      </c>
      <c r="L19" s="11">
        <f t="shared" si="1"/>
        <v>1</v>
      </c>
      <c r="M19" s="4">
        <v>19</v>
      </c>
      <c r="N19" s="11">
        <f t="shared" si="2"/>
        <v>0.54285714285714282</v>
      </c>
      <c r="O19" s="4">
        <v>8</v>
      </c>
      <c r="P19" s="11">
        <f t="shared" si="3"/>
        <v>0.26666666666666666</v>
      </c>
      <c r="Q19" s="4">
        <f t="shared" si="4"/>
        <v>44</v>
      </c>
      <c r="R19" s="11">
        <f t="shared" si="5"/>
        <v>0.44</v>
      </c>
    </row>
    <row r="20" spans="1:18" s="9" customFormat="1" x14ac:dyDescent="0.25"/>
    <row r="21" spans="1:18" s="9" customFormat="1" ht="33.75" customHeight="1" x14ac:dyDescent="0.25">
      <c r="A21" s="78" t="s">
        <v>0</v>
      </c>
      <c r="B21" s="78" t="s">
        <v>1</v>
      </c>
      <c r="C21" s="78" t="s">
        <v>2</v>
      </c>
      <c r="D21" s="78" t="s">
        <v>3</v>
      </c>
      <c r="E21" s="78" t="s">
        <v>37</v>
      </c>
      <c r="F21" s="78" t="s">
        <v>4</v>
      </c>
      <c r="G21" s="78" t="s">
        <v>5</v>
      </c>
      <c r="H21" s="82" t="s">
        <v>6</v>
      </c>
      <c r="I21" s="6" t="s">
        <v>7</v>
      </c>
      <c r="J21" s="80" t="s">
        <v>8</v>
      </c>
      <c r="K21" s="6" t="s">
        <v>9</v>
      </c>
      <c r="L21" s="80" t="s">
        <v>8</v>
      </c>
      <c r="M21" s="6" t="s">
        <v>10</v>
      </c>
      <c r="N21" s="80" t="s">
        <v>8</v>
      </c>
      <c r="O21" s="6" t="s">
        <v>40</v>
      </c>
      <c r="P21" s="80" t="s">
        <v>8</v>
      </c>
      <c r="Q21" s="6" t="s">
        <v>12</v>
      </c>
      <c r="R21" s="80" t="s">
        <v>8</v>
      </c>
    </row>
    <row r="22" spans="1:18" s="9" customFormat="1" x14ac:dyDescent="0.25">
      <c r="A22" s="79"/>
      <c r="B22" s="79"/>
      <c r="C22" s="79"/>
      <c r="D22" s="79"/>
      <c r="E22" s="79"/>
      <c r="F22" s="79"/>
      <c r="G22" s="79"/>
      <c r="H22" s="83"/>
      <c r="I22" s="6" t="s">
        <v>13</v>
      </c>
      <c r="J22" s="80"/>
      <c r="K22" s="6" t="s">
        <v>14</v>
      </c>
      <c r="L22" s="80"/>
      <c r="M22" s="6" t="s">
        <v>24</v>
      </c>
      <c r="N22" s="80"/>
      <c r="O22" s="6" t="s">
        <v>25</v>
      </c>
      <c r="P22" s="80"/>
      <c r="Q22" s="6" t="s">
        <v>17</v>
      </c>
      <c r="R22" s="80"/>
    </row>
    <row r="23" spans="1:18" s="9" customFormat="1" x14ac:dyDescent="0.25">
      <c r="A23" s="4">
        <v>1</v>
      </c>
      <c r="B23" s="12" t="s">
        <v>52</v>
      </c>
      <c r="C23" s="12" t="s">
        <v>51</v>
      </c>
      <c r="D23" s="12">
        <v>44085224</v>
      </c>
      <c r="E23" s="12"/>
      <c r="F23" s="12" t="s">
        <v>50</v>
      </c>
      <c r="G23" s="4" t="s">
        <v>56</v>
      </c>
      <c r="H23" s="12"/>
      <c r="I23" s="12">
        <v>11</v>
      </c>
      <c r="J23" s="13">
        <f>IF(I23="","",(I23/25))</f>
        <v>0.44</v>
      </c>
      <c r="K23" s="12">
        <v>8</v>
      </c>
      <c r="L23" s="13">
        <f>IF(K23="","",(K23/10))</f>
        <v>0.8</v>
      </c>
      <c r="M23" s="12">
        <v>8</v>
      </c>
      <c r="N23" s="13">
        <f>IF(M23="","",(M23/35))</f>
        <v>0.22857142857142856</v>
      </c>
      <c r="O23" s="12">
        <v>5</v>
      </c>
      <c r="P23" s="13">
        <f>IF(O23="","",(O23/30))</f>
        <v>0.16666666666666666</v>
      </c>
      <c r="Q23" s="12">
        <f>SUM(I23,K23,M23,O23)</f>
        <v>32</v>
      </c>
      <c r="R23" s="13">
        <f>IF(Q23="","",(Q23/100))</f>
        <v>0.32</v>
      </c>
    </row>
    <row r="24" spans="1:18" s="9" customFormat="1" x14ac:dyDescent="0.25">
      <c r="A24" s="4">
        <v>2</v>
      </c>
      <c r="B24" s="12" t="s">
        <v>62</v>
      </c>
      <c r="C24" s="12" t="s">
        <v>61</v>
      </c>
      <c r="D24" s="12">
        <v>21467253</v>
      </c>
      <c r="E24" s="12"/>
      <c r="F24" s="12" t="s">
        <v>50</v>
      </c>
      <c r="G24" s="4" t="s">
        <v>56</v>
      </c>
      <c r="H24" s="12"/>
      <c r="I24" s="12">
        <v>2</v>
      </c>
      <c r="J24" s="13">
        <f>IF(I24="","",(I24/25))</f>
        <v>0.08</v>
      </c>
      <c r="K24" s="12">
        <v>2</v>
      </c>
      <c r="L24" s="13">
        <f>IF(K24="","",(K24/10))</f>
        <v>0.2</v>
      </c>
      <c r="M24" s="12">
        <v>6</v>
      </c>
      <c r="N24" s="13">
        <f>IF(M24="","",(M24/35))</f>
        <v>0.17142857142857143</v>
      </c>
      <c r="O24" s="12">
        <v>4</v>
      </c>
      <c r="P24" s="13">
        <f>IF(O24="","",(O24/30))</f>
        <v>0.13333333333333333</v>
      </c>
      <c r="Q24" s="12">
        <f>SUM(I24,K24,M24,O24)</f>
        <v>14</v>
      </c>
      <c r="R24" s="13">
        <f>IF(Q24="","",(Q24/100))</f>
        <v>0.14000000000000001</v>
      </c>
    </row>
  </sheetData>
  <mergeCells count="39">
    <mergeCell ref="L10:L11"/>
    <mergeCell ref="N10:N11"/>
    <mergeCell ref="P10:P11"/>
    <mergeCell ref="R10:R11"/>
    <mergeCell ref="A21:A22"/>
    <mergeCell ref="B21:B22"/>
    <mergeCell ref="C21:C22"/>
    <mergeCell ref="D21:D22"/>
    <mergeCell ref="E21:E22"/>
    <mergeCell ref="F21:F22"/>
    <mergeCell ref="R21:R22"/>
    <mergeCell ref="G21:G22"/>
    <mergeCell ref="H21:H22"/>
    <mergeCell ref="J21:J22"/>
    <mergeCell ref="L21:L22"/>
    <mergeCell ref="N21:N22"/>
    <mergeCell ref="P21:P22"/>
    <mergeCell ref="R5:R6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G5:G6"/>
    <mergeCell ref="H5:H6"/>
    <mergeCell ref="J5:J6"/>
    <mergeCell ref="L5:L6"/>
    <mergeCell ref="N5:N6"/>
    <mergeCell ref="P5:P6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AAFF-F7B5-4377-AD87-2BC4791B80B7}">
  <dimension ref="A1:S13"/>
  <sheetViews>
    <sheetView topLeftCell="C1" workbookViewId="0">
      <selection activeCell="J22" sqref="J22"/>
    </sheetView>
  </sheetViews>
  <sheetFormatPr baseColWidth="10" defaultRowHeight="15" x14ac:dyDescent="0.25"/>
  <cols>
    <col min="1" max="1" width="3.140625" bestFit="1" customWidth="1"/>
    <col min="2" max="2" width="30.42578125" bestFit="1" customWidth="1"/>
    <col min="3" max="3" width="26" bestFit="1" customWidth="1"/>
    <col min="5" max="5" width="0" hidden="1" customWidth="1"/>
    <col min="6" max="7" width="19" customWidth="1"/>
    <col min="8" max="8" width="14.28515625" customWidth="1"/>
    <col min="10" max="10" width="18.5703125" customWidth="1"/>
    <col min="12" max="12" width="19.85546875" customWidth="1"/>
    <col min="14" max="14" width="19.85546875" customWidth="1"/>
    <col min="16" max="16" width="19.140625" customWidth="1"/>
    <col min="17" max="17" width="12.85546875" customWidth="1"/>
  </cols>
  <sheetData>
    <row r="1" spans="1:19" ht="44.25" customHeight="1" x14ac:dyDescent="0.25">
      <c r="A1" s="2" t="s">
        <v>0</v>
      </c>
      <c r="B1" s="2" t="s">
        <v>1</v>
      </c>
      <c r="C1" s="2" t="s">
        <v>2</v>
      </c>
      <c r="D1" s="7" t="s">
        <v>3</v>
      </c>
      <c r="E1" s="7" t="s">
        <v>37</v>
      </c>
      <c r="F1" s="2" t="s">
        <v>4</v>
      </c>
      <c r="G1" s="2" t="s">
        <v>77</v>
      </c>
      <c r="H1" s="2" t="s">
        <v>5</v>
      </c>
      <c r="I1" s="8" t="s">
        <v>6</v>
      </c>
      <c r="J1" s="2" t="s">
        <v>7</v>
      </c>
      <c r="K1" s="2" t="s">
        <v>8</v>
      </c>
      <c r="L1" s="2" t="s">
        <v>9</v>
      </c>
      <c r="M1" s="2" t="s">
        <v>8</v>
      </c>
      <c r="N1" s="2" t="s">
        <v>10</v>
      </c>
      <c r="O1" s="2" t="s">
        <v>8</v>
      </c>
      <c r="P1" s="2" t="s">
        <v>11</v>
      </c>
      <c r="Q1" s="2" t="s">
        <v>8</v>
      </c>
      <c r="R1" s="2" t="s">
        <v>12</v>
      </c>
      <c r="S1" s="5" t="s">
        <v>8</v>
      </c>
    </row>
    <row r="2" spans="1:19" x14ac:dyDescent="0.25">
      <c r="A2" s="4">
        <v>1</v>
      </c>
      <c r="B2" s="4" t="s">
        <v>57</v>
      </c>
      <c r="C2" s="4" t="s">
        <v>73</v>
      </c>
      <c r="D2" s="4">
        <v>71717000</v>
      </c>
      <c r="E2" s="4"/>
      <c r="F2" s="4" t="s">
        <v>55</v>
      </c>
      <c r="G2" s="4" t="s">
        <v>38</v>
      </c>
      <c r="H2" s="4" t="s">
        <v>56</v>
      </c>
      <c r="I2" s="4"/>
      <c r="J2" s="4">
        <v>15</v>
      </c>
      <c r="K2" s="11">
        <f t="shared" ref="K2:K13" si="0">IF(J2="","",(J2/25))</f>
        <v>0.6</v>
      </c>
      <c r="L2" s="4">
        <v>10</v>
      </c>
      <c r="M2" s="11">
        <f t="shared" ref="M2:M13" si="1">IF(L2="","",(L2/10))</f>
        <v>1</v>
      </c>
      <c r="N2" s="4">
        <v>24</v>
      </c>
      <c r="O2" s="11">
        <f>IF(N2="","",(N2/50))</f>
        <v>0.48</v>
      </c>
      <c r="P2" s="4">
        <v>15</v>
      </c>
      <c r="Q2" s="11">
        <f>IF(P2="","",(P2/15))</f>
        <v>1</v>
      </c>
      <c r="R2" s="4">
        <f t="shared" ref="R2:R13" si="2">SUM(J2,L2,N2,P2)</f>
        <v>64</v>
      </c>
      <c r="S2" s="11">
        <f t="shared" ref="S2:S13" si="3">IF(R2="","",(R2/100))</f>
        <v>0.64</v>
      </c>
    </row>
    <row r="3" spans="1:19" x14ac:dyDescent="0.25">
      <c r="A3" s="4">
        <v>2</v>
      </c>
      <c r="B3" s="4" t="s">
        <v>63</v>
      </c>
      <c r="C3" s="4" t="s">
        <v>58</v>
      </c>
      <c r="D3" s="4">
        <v>75054959</v>
      </c>
      <c r="E3" s="4"/>
      <c r="F3" s="4" t="s">
        <v>55</v>
      </c>
      <c r="G3" s="4" t="s">
        <v>38</v>
      </c>
      <c r="H3" s="4" t="s">
        <v>56</v>
      </c>
      <c r="I3" s="4"/>
      <c r="J3" s="4">
        <v>6</v>
      </c>
      <c r="K3" s="11">
        <f t="shared" si="0"/>
        <v>0.24</v>
      </c>
      <c r="L3" s="4">
        <v>8</v>
      </c>
      <c r="M3" s="11">
        <f t="shared" si="1"/>
        <v>0.8</v>
      </c>
      <c r="N3" s="4">
        <v>6</v>
      </c>
      <c r="O3" s="11">
        <f>IF(N3="","",(N3/50))</f>
        <v>0.12</v>
      </c>
      <c r="P3" s="4">
        <v>10</v>
      </c>
      <c r="Q3" s="11">
        <f>IF(P3="","",(P3/15))</f>
        <v>0.66666666666666663</v>
      </c>
      <c r="R3" s="4">
        <f t="shared" si="2"/>
        <v>30</v>
      </c>
      <c r="S3" s="11">
        <f t="shared" si="3"/>
        <v>0.3</v>
      </c>
    </row>
    <row r="4" spans="1:19" s="10" customFormat="1" x14ac:dyDescent="0.25">
      <c r="A4" s="4">
        <v>1</v>
      </c>
      <c r="B4" s="4" t="s">
        <v>49</v>
      </c>
      <c r="C4" s="4" t="s">
        <v>67</v>
      </c>
      <c r="D4" s="4">
        <v>61922069</v>
      </c>
      <c r="E4" s="4"/>
      <c r="F4" s="4" t="s">
        <v>30</v>
      </c>
      <c r="G4" s="4" t="s">
        <v>39</v>
      </c>
      <c r="H4" s="4" t="s">
        <v>56</v>
      </c>
      <c r="I4" s="4"/>
      <c r="J4" s="4">
        <v>9</v>
      </c>
      <c r="K4" s="11">
        <f t="shared" si="0"/>
        <v>0.36</v>
      </c>
      <c r="L4" s="4">
        <v>10</v>
      </c>
      <c r="M4" s="11">
        <f t="shared" si="1"/>
        <v>1</v>
      </c>
      <c r="N4" s="4">
        <v>7</v>
      </c>
      <c r="O4" s="11">
        <f t="shared" ref="O4:O13" si="4">IF(N4="","",(N4/35))</f>
        <v>0.2</v>
      </c>
      <c r="P4" s="4">
        <v>8</v>
      </c>
      <c r="Q4" s="11">
        <f t="shared" ref="Q4:Q13" si="5">IF(P4="","",(P4/30))</f>
        <v>0.26666666666666666</v>
      </c>
      <c r="R4" s="4">
        <f t="shared" si="2"/>
        <v>34</v>
      </c>
      <c r="S4" s="11">
        <f t="shared" si="3"/>
        <v>0.34</v>
      </c>
    </row>
    <row r="5" spans="1:19" s="10" customFormat="1" x14ac:dyDescent="0.25">
      <c r="A5" s="4">
        <v>2</v>
      </c>
      <c r="B5" s="4" t="s">
        <v>54</v>
      </c>
      <c r="C5" s="4" t="s">
        <v>71</v>
      </c>
      <c r="D5" s="4">
        <v>72350542</v>
      </c>
      <c r="E5" s="4"/>
      <c r="F5" s="4" t="s">
        <v>30</v>
      </c>
      <c r="G5" s="4" t="s">
        <v>39</v>
      </c>
      <c r="H5" s="4" t="s">
        <v>56</v>
      </c>
      <c r="I5" s="4"/>
      <c r="J5" s="4">
        <v>8</v>
      </c>
      <c r="K5" s="11">
        <f t="shared" si="0"/>
        <v>0.32</v>
      </c>
      <c r="L5" s="4">
        <v>6</v>
      </c>
      <c r="M5" s="11">
        <f t="shared" si="1"/>
        <v>0.6</v>
      </c>
      <c r="N5" s="4">
        <v>12</v>
      </c>
      <c r="O5" s="11">
        <f t="shared" si="4"/>
        <v>0.34285714285714286</v>
      </c>
      <c r="P5" s="4">
        <v>7</v>
      </c>
      <c r="Q5" s="11">
        <f t="shared" si="5"/>
        <v>0.23333333333333334</v>
      </c>
      <c r="R5" s="4">
        <f t="shared" si="2"/>
        <v>33</v>
      </c>
      <c r="S5" s="11">
        <f t="shared" si="3"/>
        <v>0.33</v>
      </c>
    </row>
    <row r="6" spans="1:19" s="10" customFormat="1" x14ac:dyDescent="0.25">
      <c r="A6" s="4">
        <v>3</v>
      </c>
      <c r="B6" s="4" t="s">
        <v>60</v>
      </c>
      <c r="C6" s="4" t="s">
        <v>69</v>
      </c>
      <c r="D6" s="4">
        <v>61281161</v>
      </c>
      <c r="E6" s="4"/>
      <c r="F6" s="4" t="s">
        <v>30</v>
      </c>
      <c r="G6" s="4" t="s">
        <v>39</v>
      </c>
      <c r="H6" s="4" t="s">
        <v>56</v>
      </c>
      <c r="I6" s="4"/>
      <c r="J6" s="4">
        <v>7</v>
      </c>
      <c r="K6" s="11">
        <f t="shared" si="0"/>
        <v>0.28000000000000003</v>
      </c>
      <c r="L6" s="4">
        <v>8</v>
      </c>
      <c r="M6" s="11">
        <f t="shared" si="1"/>
        <v>0.8</v>
      </c>
      <c r="N6" s="4">
        <v>9</v>
      </c>
      <c r="O6" s="11">
        <f t="shared" si="4"/>
        <v>0.25714285714285712</v>
      </c>
      <c r="P6" s="4">
        <v>8</v>
      </c>
      <c r="Q6" s="11">
        <f t="shared" si="5"/>
        <v>0.26666666666666666</v>
      </c>
      <c r="R6" s="4">
        <f t="shared" si="2"/>
        <v>32</v>
      </c>
      <c r="S6" s="11">
        <f t="shared" si="3"/>
        <v>0.32</v>
      </c>
    </row>
    <row r="7" spans="1:19" s="10" customFormat="1" x14ac:dyDescent="0.25">
      <c r="A7" s="4">
        <v>4</v>
      </c>
      <c r="B7" s="4" t="s">
        <v>66</v>
      </c>
      <c r="C7" s="4" t="s">
        <v>59</v>
      </c>
      <c r="D7" s="4">
        <v>75054960</v>
      </c>
      <c r="E7" s="4"/>
      <c r="F7" s="4" t="s">
        <v>30</v>
      </c>
      <c r="G7" s="4" t="s">
        <v>39</v>
      </c>
      <c r="H7" s="4" t="s">
        <v>56</v>
      </c>
      <c r="I7" s="4"/>
      <c r="J7" s="4">
        <v>5</v>
      </c>
      <c r="K7" s="11">
        <f t="shared" si="0"/>
        <v>0.2</v>
      </c>
      <c r="L7" s="4">
        <v>8</v>
      </c>
      <c r="M7" s="11">
        <f t="shared" si="1"/>
        <v>0.8</v>
      </c>
      <c r="N7" s="4">
        <v>9</v>
      </c>
      <c r="O7" s="11">
        <f t="shared" si="4"/>
        <v>0.25714285714285712</v>
      </c>
      <c r="P7" s="4">
        <v>8</v>
      </c>
      <c r="Q7" s="11">
        <f t="shared" si="5"/>
        <v>0.26666666666666666</v>
      </c>
      <c r="R7" s="4">
        <f t="shared" si="2"/>
        <v>30</v>
      </c>
      <c r="S7" s="11">
        <f t="shared" si="3"/>
        <v>0.3</v>
      </c>
    </row>
    <row r="8" spans="1:19" s="10" customFormat="1" x14ac:dyDescent="0.25">
      <c r="A8" s="4">
        <v>5</v>
      </c>
      <c r="B8" s="4" t="s">
        <v>74</v>
      </c>
      <c r="C8" s="4" t="s">
        <v>53</v>
      </c>
      <c r="D8" s="4">
        <v>60474480</v>
      </c>
      <c r="E8" s="4"/>
      <c r="F8" s="4" t="s">
        <v>30</v>
      </c>
      <c r="G8" s="4" t="s">
        <v>39</v>
      </c>
      <c r="H8" s="4" t="s">
        <v>56</v>
      </c>
      <c r="I8" s="4"/>
      <c r="J8" s="4">
        <v>5</v>
      </c>
      <c r="K8" s="11">
        <f t="shared" si="0"/>
        <v>0.2</v>
      </c>
      <c r="L8" s="4">
        <v>10</v>
      </c>
      <c r="M8" s="11">
        <f t="shared" si="1"/>
        <v>1</v>
      </c>
      <c r="N8" s="4">
        <v>8</v>
      </c>
      <c r="O8" s="11">
        <f t="shared" si="4"/>
        <v>0.22857142857142856</v>
      </c>
      <c r="P8" s="4">
        <v>3</v>
      </c>
      <c r="Q8" s="11">
        <f t="shared" si="5"/>
        <v>0.1</v>
      </c>
      <c r="R8" s="4">
        <f t="shared" si="2"/>
        <v>26</v>
      </c>
      <c r="S8" s="11">
        <f t="shared" si="3"/>
        <v>0.26</v>
      </c>
    </row>
    <row r="9" spans="1:19" s="10" customFormat="1" x14ac:dyDescent="0.25">
      <c r="A9" s="4">
        <v>6</v>
      </c>
      <c r="B9" s="4" t="s">
        <v>75</v>
      </c>
      <c r="C9" s="4" t="s">
        <v>65</v>
      </c>
      <c r="D9" s="4">
        <v>60971179</v>
      </c>
      <c r="E9" s="4"/>
      <c r="F9" s="4" t="s">
        <v>30</v>
      </c>
      <c r="G9" s="4" t="s">
        <v>39</v>
      </c>
      <c r="H9" s="4" t="s">
        <v>56</v>
      </c>
      <c r="I9" s="4"/>
      <c r="J9" s="4">
        <v>3</v>
      </c>
      <c r="K9" s="11">
        <f t="shared" si="0"/>
        <v>0.12</v>
      </c>
      <c r="L9" s="4">
        <v>8</v>
      </c>
      <c r="M9" s="11">
        <f t="shared" si="1"/>
        <v>0.8</v>
      </c>
      <c r="N9" s="4">
        <v>10</v>
      </c>
      <c r="O9" s="11">
        <f t="shared" si="4"/>
        <v>0.2857142857142857</v>
      </c>
      <c r="P9" s="4">
        <v>3</v>
      </c>
      <c r="Q9" s="11">
        <f t="shared" si="5"/>
        <v>0.1</v>
      </c>
      <c r="R9" s="4">
        <f t="shared" si="2"/>
        <v>24</v>
      </c>
      <c r="S9" s="11">
        <f t="shared" si="3"/>
        <v>0.24</v>
      </c>
    </row>
    <row r="10" spans="1:19" s="10" customFormat="1" x14ac:dyDescent="0.25">
      <c r="A10" s="4">
        <v>7</v>
      </c>
      <c r="B10" s="4" t="s">
        <v>72</v>
      </c>
      <c r="C10" s="4" t="s">
        <v>48</v>
      </c>
      <c r="D10" s="4">
        <v>46161161</v>
      </c>
      <c r="E10" s="4"/>
      <c r="F10" s="4" t="s">
        <v>30</v>
      </c>
      <c r="G10" s="4" t="s">
        <v>39</v>
      </c>
      <c r="H10" s="4" t="s">
        <v>56</v>
      </c>
      <c r="I10" s="4"/>
      <c r="J10" s="4">
        <v>4</v>
      </c>
      <c r="K10" s="11">
        <f t="shared" si="0"/>
        <v>0.16</v>
      </c>
      <c r="L10" s="4">
        <v>5</v>
      </c>
      <c r="M10" s="11">
        <f t="shared" si="1"/>
        <v>0.5</v>
      </c>
      <c r="N10" s="4">
        <v>9</v>
      </c>
      <c r="O10" s="11">
        <f t="shared" si="4"/>
        <v>0.25714285714285712</v>
      </c>
      <c r="P10" s="4">
        <v>5</v>
      </c>
      <c r="Q10" s="11">
        <f t="shared" si="5"/>
        <v>0.16666666666666666</v>
      </c>
      <c r="R10" s="4">
        <f t="shared" si="2"/>
        <v>23</v>
      </c>
      <c r="S10" s="11">
        <f t="shared" si="3"/>
        <v>0.23</v>
      </c>
    </row>
    <row r="11" spans="1:19" s="10" customFormat="1" x14ac:dyDescent="0.25">
      <c r="A11" s="4">
        <v>8</v>
      </c>
      <c r="B11" s="4" t="s">
        <v>47</v>
      </c>
      <c r="C11" s="4" t="s">
        <v>46</v>
      </c>
      <c r="D11" s="4">
        <v>61086522</v>
      </c>
      <c r="E11" s="4"/>
      <c r="F11" s="4" t="s">
        <v>34</v>
      </c>
      <c r="G11" s="4" t="s">
        <v>39</v>
      </c>
      <c r="H11" s="4" t="s">
        <v>56</v>
      </c>
      <c r="I11" s="4"/>
      <c r="J11" s="4">
        <v>7</v>
      </c>
      <c r="K11" s="11">
        <f t="shared" si="0"/>
        <v>0.28000000000000003</v>
      </c>
      <c r="L11" s="4">
        <v>10</v>
      </c>
      <c r="M11" s="11">
        <f t="shared" si="1"/>
        <v>1</v>
      </c>
      <c r="N11" s="4">
        <v>19</v>
      </c>
      <c r="O11" s="11">
        <f t="shared" si="4"/>
        <v>0.54285714285714282</v>
      </c>
      <c r="P11" s="4">
        <v>8</v>
      </c>
      <c r="Q11" s="11">
        <f t="shared" si="5"/>
        <v>0.26666666666666666</v>
      </c>
      <c r="R11" s="4">
        <f t="shared" si="2"/>
        <v>44</v>
      </c>
      <c r="S11" s="11">
        <f t="shared" si="3"/>
        <v>0.44</v>
      </c>
    </row>
    <row r="12" spans="1:19" x14ac:dyDescent="0.25">
      <c r="A12" s="4">
        <v>1</v>
      </c>
      <c r="B12" s="12" t="s">
        <v>52</v>
      </c>
      <c r="C12" s="12" t="s">
        <v>51</v>
      </c>
      <c r="D12" s="12">
        <v>44085224</v>
      </c>
      <c r="E12" s="12"/>
      <c r="F12" s="12" t="s">
        <v>50</v>
      </c>
      <c r="G12" s="12" t="s">
        <v>41</v>
      </c>
      <c r="H12" s="4" t="s">
        <v>56</v>
      </c>
      <c r="I12" s="12"/>
      <c r="J12" s="12">
        <v>11</v>
      </c>
      <c r="K12" s="13">
        <f t="shared" si="0"/>
        <v>0.44</v>
      </c>
      <c r="L12" s="12">
        <v>8</v>
      </c>
      <c r="M12" s="13">
        <f t="shared" si="1"/>
        <v>0.8</v>
      </c>
      <c r="N12" s="12">
        <v>8</v>
      </c>
      <c r="O12" s="13">
        <f t="shared" si="4"/>
        <v>0.22857142857142856</v>
      </c>
      <c r="P12" s="12">
        <v>5</v>
      </c>
      <c r="Q12" s="13">
        <f t="shared" si="5"/>
        <v>0.16666666666666666</v>
      </c>
      <c r="R12" s="12">
        <f t="shared" si="2"/>
        <v>32</v>
      </c>
      <c r="S12" s="13">
        <f t="shared" si="3"/>
        <v>0.32</v>
      </c>
    </row>
    <row r="13" spans="1:19" x14ac:dyDescent="0.25">
      <c r="A13" s="4">
        <v>2</v>
      </c>
      <c r="B13" s="12" t="s">
        <v>62</v>
      </c>
      <c r="C13" s="12" t="s">
        <v>61</v>
      </c>
      <c r="D13" s="12">
        <v>21467253</v>
      </c>
      <c r="E13" s="12"/>
      <c r="F13" s="12" t="s">
        <v>50</v>
      </c>
      <c r="G13" s="12" t="s">
        <v>41</v>
      </c>
      <c r="H13" s="4" t="s">
        <v>56</v>
      </c>
      <c r="I13" s="12"/>
      <c r="J13" s="12">
        <v>2</v>
      </c>
      <c r="K13" s="13">
        <f t="shared" si="0"/>
        <v>0.08</v>
      </c>
      <c r="L13" s="12">
        <v>2</v>
      </c>
      <c r="M13" s="13">
        <f t="shared" si="1"/>
        <v>0.2</v>
      </c>
      <c r="N13" s="12">
        <v>6</v>
      </c>
      <c r="O13" s="13">
        <f t="shared" si="4"/>
        <v>0.17142857142857143</v>
      </c>
      <c r="P13" s="12">
        <v>4</v>
      </c>
      <c r="Q13" s="13">
        <f t="shared" si="5"/>
        <v>0.13333333333333333</v>
      </c>
      <c r="R13" s="12">
        <f t="shared" si="2"/>
        <v>14</v>
      </c>
      <c r="S13" s="13">
        <f t="shared" si="3"/>
        <v>0.14000000000000001</v>
      </c>
    </row>
  </sheetData>
  <sortState xmlns:xlrd2="http://schemas.microsoft.com/office/spreadsheetml/2017/richdata2" ref="C2:S13">
    <sortCondition ref="I2:I13"/>
    <sortCondition ref="G2:G13"/>
    <sortCondition ref="F2:F13"/>
    <sortCondition descending="1" ref="R2:R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0FF6-2E62-435E-B285-E69F64453B07}">
  <dimension ref="A1:DF19"/>
  <sheetViews>
    <sheetView topLeftCell="CO1" workbookViewId="0">
      <selection activeCell="DA27" sqref="DA27"/>
    </sheetView>
  </sheetViews>
  <sheetFormatPr baseColWidth="10" defaultRowHeight="15" x14ac:dyDescent="0.25"/>
  <cols>
    <col min="1" max="1" width="23.28515625" bestFit="1" customWidth="1"/>
    <col min="2" max="2" width="10" bestFit="1" customWidth="1"/>
    <col min="3" max="3" width="13.85546875" bestFit="1" customWidth="1"/>
    <col min="4" max="4" width="26" bestFit="1" customWidth="1"/>
    <col min="5" max="5" width="30.42578125" bestFit="1" customWidth="1"/>
    <col min="107" max="107" width="11.85546875" bestFit="1" customWidth="1"/>
  </cols>
  <sheetData>
    <row r="1" spans="1:110" x14ac:dyDescent="0.25">
      <c r="A1" t="s">
        <v>55</v>
      </c>
      <c r="B1">
        <v>75054959</v>
      </c>
      <c r="C1" t="s">
        <v>56</v>
      </c>
      <c r="D1" t="s">
        <v>57</v>
      </c>
      <c r="E1" t="s">
        <v>58</v>
      </c>
      <c r="F1" t="s">
        <v>38</v>
      </c>
      <c r="G1">
        <v>1</v>
      </c>
      <c r="H1">
        <v>0</v>
      </c>
      <c r="I1">
        <v>1</v>
      </c>
      <c r="J1">
        <v>1</v>
      </c>
      <c r="K1">
        <v>0</v>
      </c>
      <c r="L1">
        <v>1</v>
      </c>
      <c r="M1">
        <v>0</v>
      </c>
      <c r="N1">
        <v>0</v>
      </c>
      <c r="O1">
        <v>0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1</v>
      </c>
      <c r="AG1">
        <v>1</v>
      </c>
      <c r="AH1">
        <v>1</v>
      </c>
      <c r="AI1">
        <v>1</v>
      </c>
      <c r="AJ1">
        <v>0</v>
      </c>
      <c r="AK1">
        <v>1</v>
      </c>
      <c r="AL1">
        <v>1</v>
      </c>
      <c r="AM1">
        <v>0</v>
      </c>
      <c r="AN1">
        <v>1</v>
      </c>
      <c r="AO1">
        <v>1</v>
      </c>
      <c r="AP1">
        <v>1</v>
      </c>
      <c r="AQ1">
        <v>0</v>
      </c>
      <c r="AR1">
        <v>1</v>
      </c>
      <c r="AS1">
        <v>0</v>
      </c>
      <c r="AT1">
        <v>1</v>
      </c>
      <c r="AU1">
        <v>0</v>
      </c>
      <c r="AV1">
        <v>0</v>
      </c>
      <c r="AW1">
        <v>1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1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1</v>
      </c>
      <c r="BN1">
        <v>0</v>
      </c>
      <c r="BO1">
        <v>0</v>
      </c>
      <c r="BP1">
        <v>0</v>
      </c>
      <c r="BQ1">
        <v>1</v>
      </c>
      <c r="BR1">
        <v>1</v>
      </c>
      <c r="BS1">
        <v>0</v>
      </c>
      <c r="BT1">
        <v>0</v>
      </c>
      <c r="BU1">
        <v>0</v>
      </c>
      <c r="BV1">
        <v>0</v>
      </c>
      <c r="BW1">
        <v>1</v>
      </c>
      <c r="BX1">
        <v>0</v>
      </c>
      <c r="BY1">
        <v>1</v>
      </c>
      <c r="BZ1">
        <v>0</v>
      </c>
      <c r="CA1">
        <v>0</v>
      </c>
      <c r="CB1">
        <v>0</v>
      </c>
      <c r="CC1">
        <v>1</v>
      </c>
      <c r="CD1">
        <v>1</v>
      </c>
      <c r="CE1">
        <v>0</v>
      </c>
      <c r="CF1">
        <v>0</v>
      </c>
      <c r="CG1">
        <v>1</v>
      </c>
      <c r="CH1">
        <v>0</v>
      </c>
      <c r="CI1">
        <v>0</v>
      </c>
      <c r="CJ1">
        <v>0</v>
      </c>
      <c r="CK1">
        <v>1</v>
      </c>
      <c r="CL1">
        <v>0</v>
      </c>
      <c r="CM1">
        <v>0</v>
      </c>
      <c r="CN1">
        <v>0</v>
      </c>
      <c r="CO1">
        <v>1</v>
      </c>
      <c r="CP1">
        <v>1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1</v>
      </c>
      <c r="CX1">
        <v>0</v>
      </c>
      <c r="CY1">
        <v>0</v>
      </c>
      <c r="CZ1">
        <v>1</v>
      </c>
      <c r="DA1">
        <v>0</v>
      </c>
      <c r="DB1">
        <v>0</v>
      </c>
      <c r="DC1">
        <f>SUM(G1:AE1)</f>
        <v>6</v>
      </c>
      <c r="DD1">
        <f>SUM(AF1:AO1)</f>
        <v>8</v>
      </c>
      <c r="DE1">
        <f>SUM(AP1:CM1)</f>
        <v>14</v>
      </c>
      <c r="DF1">
        <f>SUM(BY1:DB1)</f>
        <v>9</v>
      </c>
    </row>
    <row r="2" spans="1:110" x14ac:dyDescent="0.25">
      <c r="A2" t="s">
        <v>55</v>
      </c>
      <c r="B2">
        <v>71717000</v>
      </c>
      <c r="C2" t="s">
        <v>56</v>
      </c>
      <c r="D2" t="s">
        <v>63</v>
      </c>
      <c r="E2" t="s">
        <v>64</v>
      </c>
      <c r="F2" t="s">
        <v>38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1</v>
      </c>
      <c r="AY2">
        <v>1</v>
      </c>
      <c r="AZ2">
        <v>0</v>
      </c>
      <c r="BA2">
        <v>1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0</v>
      </c>
      <c r="CM2">
        <v>0</v>
      </c>
      <c r="CN2">
        <v>1</v>
      </c>
      <c r="CO2">
        <v>1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1</v>
      </c>
      <c r="CZ2">
        <v>0</v>
      </c>
      <c r="DA2">
        <v>0</v>
      </c>
      <c r="DB2">
        <v>0</v>
      </c>
      <c r="DC2">
        <f>SUM(G2:AE2)</f>
        <v>15</v>
      </c>
      <c r="DD2">
        <f>SUM(AF2:AO2)</f>
        <v>10</v>
      </c>
      <c r="DE2">
        <f>SUM(AP2:CM2)</f>
        <v>33</v>
      </c>
      <c r="DF2">
        <f>SUM(BY2:DB2)</f>
        <v>13</v>
      </c>
    </row>
    <row r="3" spans="1:110" x14ac:dyDescent="0.25">
      <c r="A3" t="s">
        <v>50</v>
      </c>
      <c r="B3">
        <v>44085224</v>
      </c>
      <c r="C3" t="s">
        <v>45</v>
      </c>
      <c r="D3" t="s">
        <v>51</v>
      </c>
      <c r="E3" t="s">
        <v>52</v>
      </c>
      <c r="F3" t="s">
        <v>41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f>SUM(G3:AO3)</f>
        <v>11</v>
      </c>
      <c r="DD3">
        <f>SUM(AP3:AY3)</f>
        <v>8</v>
      </c>
      <c r="DE3">
        <f>SUM(AZ3:CC3)</f>
        <v>8</v>
      </c>
      <c r="DF3">
        <f>SUM(CD3:DB3)</f>
        <v>5</v>
      </c>
    </row>
    <row r="4" spans="1:110" x14ac:dyDescent="0.25">
      <c r="A4" t="s">
        <v>50</v>
      </c>
      <c r="B4">
        <v>21467253</v>
      </c>
      <c r="C4" t="s">
        <v>45</v>
      </c>
      <c r="D4" t="s">
        <v>61</v>
      </c>
      <c r="E4" t="s">
        <v>62</v>
      </c>
      <c r="F4" t="s">
        <v>41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f>SUM(G4:AO4)</f>
        <v>2</v>
      </c>
      <c r="DD4">
        <f>SUM(AP4:AY4)</f>
        <v>2</v>
      </c>
      <c r="DE4">
        <f>SUM(AZ4:CC4)</f>
        <v>6</v>
      </c>
      <c r="DF4">
        <f>SUM(CD4:DB4)</f>
        <v>4</v>
      </c>
    </row>
    <row r="5" spans="1:110" x14ac:dyDescent="0.25">
      <c r="A5" t="s">
        <v>30</v>
      </c>
      <c r="B5">
        <v>46161161</v>
      </c>
      <c r="C5" t="s">
        <v>45</v>
      </c>
      <c r="D5" t="s">
        <v>48</v>
      </c>
      <c r="E5" t="s">
        <v>49</v>
      </c>
      <c r="F5" t="s">
        <v>39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f t="shared" ref="DC5:DC19" si="0">SUM(G5:AE5)</f>
        <v>4</v>
      </c>
      <c r="DD5">
        <f t="shared" ref="DD5:DD19" si="1">SUM(AF5:AO5)</f>
        <v>5</v>
      </c>
      <c r="DE5">
        <f t="shared" ref="DE5:DE13" si="2">SUM(AP5:BX5)</f>
        <v>9</v>
      </c>
      <c r="DF5">
        <f t="shared" ref="DF5:DF19" si="3">SUM(BY5:DB5)</f>
        <v>5</v>
      </c>
    </row>
    <row r="6" spans="1:110" x14ac:dyDescent="0.25">
      <c r="A6" t="s">
        <v>30</v>
      </c>
      <c r="B6">
        <v>60474480</v>
      </c>
      <c r="C6" t="s">
        <v>45</v>
      </c>
      <c r="D6" t="s">
        <v>53</v>
      </c>
      <c r="E6" t="s">
        <v>54</v>
      </c>
      <c r="F6" t="s">
        <v>39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f t="shared" si="0"/>
        <v>5</v>
      </c>
      <c r="DD6">
        <f t="shared" si="1"/>
        <v>10</v>
      </c>
      <c r="DE6">
        <f t="shared" si="2"/>
        <v>8</v>
      </c>
      <c r="DF6">
        <f t="shared" si="3"/>
        <v>3</v>
      </c>
    </row>
    <row r="7" spans="1:110" x14ac:dyDescent="0.25">
      <c r="A7" t="s">
        <v>30</v>
      </c>
      <c r="B7">
        <v>75054960</v>
      </c>
      <c r="C7" t="s">
        <v>45</v>
      </c>
      <c r="D7" t="s">
        <v>59</v>
      </c>
      <c r="E7" t="s">
        <v>60</v>
      </c>
      <c r="F7" t="s">
        <v>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f t="shared" si="0"/>
        <v>5</v>
      </c>
      <c r="DD7">
        <f t="shared" si="1"/>
        <v>8</v>
      </c>
      <c r="DE7">
        <f t="shared" si="2"/>
        <v>9</v>
      </c>
      <c r="DF7">
        <f t="shared" si="3"/>
        <v>8</v>
      </c>
    </row>
    <row r="8" spans="1:110" x14ac:dyDescent="0.25">
      <c r="A8" t="s">
        <v>30</v>
      </c>
      <c r="B8">
        <v>60971179</v>
      </c>
      <c r="C8" t="s">
        <v>45</v>
      </c>
      <c r="D8" t="s">
        <v>65</v>
      </c>
      <c r="E8" t="s">
        <v>66</v>
      </c>
      <c r="F8" t="s">
        <v>39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1</v>
      </c>
      <c r="DA8">
        <v>1</v>
      </c>
      <c r="DB8">
        <v>0</v>
      </c>
      <c r="DC8">
        <f t="shared" si="0"/>
        <v>3</v>
      </c>
      <c r="DD8">
        <f t="shared" si="1"/>
        <v>8</v>
      </c>
      <c r="DE8">
        <f t="shared" si="2"/>
        <v>10</v>
      </c>
      <c r="DF8">
        <f t="shared" si="3"/>
        <v>3</v>
      </c>
    </row>
    <row r="9" spans="1:110" x14ac:dyDescent="0.25">
      <c r="A9" t="s">
        <v>30</v>
      </c>
      <c r="B9">
        <v>61922069</v>
      </c>
      <c r="C9" t="s">
        <v>45</v>
      </c>
      <c r="D9" t="s">
        <v>67</v>
      </c>
      <c r="E9" t="s">
        <v>68</v>
      </c>
      <c r="F9" t="s">
        <v>39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f t="shared" si="0"/>
        <v>9</v>
      </c>
      <c r="DD9">
        <f t="shared" si="1"/>
        <v>10</v>
      </c>
      <c r="DE9">
        <f t="shared" si="2"/>
        <v>7</v>
      </c>
      <c r="DF9">
        <f t="shared" si="3"/>
        <v>8</v>
      </c>
    </row>
    <row r="10" spans="1:110" x14ac:dyDescent="0.25">
      <c r="A10" t="s">
        <v>30</v>
      </c>
      <c r="B10">
        <v>61281161</v>
      </c>
      <c r="C10" t="s">
        <v>45</v>
      </c>
      <c r="D10" t="s">
        <v>69</v>
      </c>
      <c r="E10" t="s">
        <v>70</v>
      </c>
      <c r="F10" t="s">
        <v>39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f t="shared" si="0"/>
        <v>7</v>
      </c>
      <c r="DD10">
        <f t="shared" si="1"/>
        <v>8</v>
      </c>
      <c r="DE10">
        <f t="shared" si="2"/>
        <v>9</v>
      </c>
      <c r="DF10">
        <f t="shared" si="3"/>
        <v>8</v>
      </c>
    </row>
    <row r="11" spans="1:110" x14ac:dyDescent="0.25">
      <c r="A11" t="s">
        <v>30</v>
      </c>
      <c r="B11">
        <v>72350542</v>
      </c>
      <c r="C11" t="s">
        <v>45</v>
      </c>
      <c r="D11" t="s">
        <v>71</v>
      </c>
      <c r="E11" t="s">
        <v>72</v>
      </c>
      <c r="F11" t="s">
        <v>39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f t="shared" si="0"/>
        <v>8</v>
      </c>
      <c r="DD11">
        <f t="shared" si="1"/>
        <v>6</v>
      </c>
      <c r="DE11">
        <f t="shared" si="2"/>
        <v>12</v>
      </c>
      <c r="DF11">
        <f t="shared" si="3"/>
        <v>7</v>
      </c>
    </row>
    <row r="12" spans="1:110" x14ac:dyDescent="0.25">
      <c r="A12" t="s">
        <v>34</v>
      </c>
      <c r="B12">
        <v>61086522</v>
      </c>
      <c r="C12" t="s">
        <v>45</v>
      </c>
      <c r="D12" t="s">
        <v>46</v>
      </c>
      <c r="E12" t="s">
        <v>47</v>
      </c>
      <c r="F12" t="s">
        <v>39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f t="shared" si="0"/>
        <v>7</v>
      </c>
      <c r="DD12">
        <f t="shared" si="1"/>
        <v>10</v>
      </c>
      <c r="DE12">
        <f t="shared" si="2"/>
        <v>19</v>
      </c>
      <c r="DF12">
        <f t="shared" si="3"/>
        <v>8</v>
      </c>
    </row>
    <row r="13" spans="1:110" x14ac:dyDescent="0.25">
      <c r="A13" t="s">
        <v>30</v>
      </c>
      <c r="B13">
        <v>76566219</v>
      </c>
      <c r="C13" t="s">
        <v>42</v>
      </c>
      <c r="D13" t="s">
        <v>29</v>
      </c>
      <c r="E13" t="s">
        <v>28</v>
      </c>
      <c r="F13" t="s">
        <v>39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f t="shared" si="0"/>
        <v>8</v>
      </c>
      <c r="DD13">
        <f t="shared" si="1"/>
        <v>7</v>
      </c>
      <c r="DE13">
        <f t="shared" si="2"/>
        <v>5</v>
      </c>
      <c r="DF13">
        <f t="shared" si="3"/>
        <v>7</v>
      </c>
    </row>
    <row r="14" spans="1:110" x14ac:dyDescent="0.25">
      <c r="A14" t="s">
        <v>20</v>
      </c>
      <c r="B14">
        <v>61833254</v>
      </c>
      <c r="C14" t="s">
        <v>21</v>
      </c>
      <c r="D14" t="s">
        <v>19</v>
      </c>
      <c r="E14" t="s">
        <v>18</v>
      </c>
      <c r="F14" t="s">
        <v>38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f t="shared" si="0"/>
        <v>9</v>
      </c>
      <c r="DD14">
        <f t="shared" si="1"/>
        <v>9</v>
      </c>
      <c r="DE14">
        <f>SUM(AP14:CM14)</f>
        <v>17</v>
      </c>
      <c r="DF14">
        <f t="shared" si="3"/>
        <v>9</v>
      </c>
    </row>
    <row r="15" spans="1:110" x14ac:dyDescent="0.25">
      <c r="A15" t="s">
        <v>20</v>
      </c>
      <c r="B15">
        <v>60984967</v>
      </c>
      <c r="C15" t="s">
        <v>21</v>
      </c>
      <c r="D15" t="s">
        <v>23</v>
      </c>
      <c r="E15" t="s">
        <v>22</v>
      </c>
      <c r="F15" t="s">
        <v>38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0</v>
      </c>
      <c r="DB15">
        <v>0</v>
      </c>
      <c r="DC15">
        <f t="shared" si="0"/>
        <v>6</v>
      </c>
      <c r="DD15">
        <f t="shared" si="1"/>
        <v>6</v>
      </c>
      <c r="DE15">
        <f>SUM(AP15:CM15)</f>
        <v>11</v>
      </c>
      <c r="DF15">
        <f t="shared" si="3"/>
        <v>7</v>
      </c>
    </row>
    <row r="16" spans="1:110" x14ac:dyDescent="0.25">
      <c r="A16" t="s">
        <v>34</v>
      </c>
      <c r="B16">
        <v>61110830</v>
      </c>
      <c r="C16" t="s">
        <v>42</v>
      </c>
      <c r="D16" t="s">
        <v>35</v>
      </c>
      <c r="E16" t="s">
        <v>36</v>
      </c>
      <c r="F16" t="s">
        <v>39</v>
      </c>
      <c r="G16">
        <v>1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f t="shared" si="0"/>
        <v>7</v>
      </c>
      <c r="DD16">
        <f t="shared" si="1"/>
        <v>9</v>
      </c>
      <c r="DE16">
        <f>SUM(AP16:BX16)</f>
        <v>6</v>
      </c>
      <c r="DF16">
        <f t="shared" si="3"/>
        <v>7</v>
      </c>
    </row>
    <row r="17" spans="1:110" x14ac:dyDescent="0.25">
      <c r="A17" t="s">
        <v>27</v>
      </c>
      <c r="B17">
        <v>623377402</v>
      </c>
      <c r="C17" t="s">
        <v>21</v>
      </c>
      <c r="D17" t="s">
        <v>33</v>
      </c>
      <c r="E17" t="s">
        <v>32</v>
      </c>
      <c r="F17" t="s">
        <v>39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1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f t="shared" si="0"/>
        <v>7</v>
      </c>
      <c r="DD17">
        <f t="shared" si="1"/>
        <v>9</v>
      </c>
      <c r="DE17">
        <f>SUM(AP17:BX17)</f>
        <v>12</v>
      </c>
      <c r="DF17">
        <f t="shared" si="3"/>
        <v>11</v>
      </c>
    </row>
    <row r="18" spans="1:110" x14ac:dyDescent="0.25">
      <c r="A18" t="s">
        <v>27</v>
      </c>
      <c r="B18">
        <v>60465659</v>
      </c>
      <c r="C18" t="s">
        <v>42</v>
      </c>
      <c r="D18" t="s">
        <v>43</v>
      </c>
      <c r="E18" t="s">
        <v>31</v>
      </c>
      <c r="F18" t="s">
        <v>39</v>
      </c>
      <c r="G18">
        <v>1</v>
      </c>
      <c r="H18">
        <v>1</v>
      </c>
      <c r="I18">
        <v>1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1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f t="shared" si="0"/>
        <v>11</v>
      </c>
      <c r="DD18">
        <f t="shared" si="1"/>
        <v>9</v>
      </c>
      <c r="DE18">
        <f>SUM(AP18:BX18)</f>
        <v>13</v>
      </c>
      <c r="DF18">
        <f t="shared" si="3"/>
        <v>11</v>
      </c>
    </row>
    <row r="19" spans="1:110" x14ac:dyDescent="0.25">
      <c r="A19" t="s">
        <v>27</v>
      </c>
      <c r="B19">
        <v>60485270</v>
      </c>
      <c r="C19" t="s">
        <v>42</v>
      </c>
      <c r="D19" t="s">
        <v>44</v>
      </c>
      <c r="E19" t="s">
        <v>26</v>
      </c>
      <c r="F19" t="s">
        <v>39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f t="shared" si="0"/>
        <v>5</v>
      </c>
      <c r="DD19">
        <f t="shared" si="1"/>
        <v>8</v>
      </c>
      <c r="DE19">
        <f>SUM(AP19:BX19)</f>
        <v>7</v>
      </c>
      <c r="DF19">
        <f t="shared" si="3"/>
        <v>9</v>
      </c>
    </row>
  </sheetData>
  <sortState xmlns:xlrd2="http://schemas.microsoft.com/office/spreadsheetml/2017/richdata2" ref="A1:DF20">
    <sortCondition ref="C1:C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8715-1277-4A6F-80D2-49F3A2EC72BC}">
  <dimension ref="A1:J19"/>
  <sheetViews>
    <sheetView workbookViewId="0">
      <selection sqref="A1:XFD12"/>
    </sheetView>
  </sheetViews>
  <sheetFormatPr baseColWidth="10" defaultRowHeight="15" x14ac:dyDescent="0.25"/>
  <cols>
    <col min="1" max="1" width="23.28515625" bestFit="1" customWidth="1"/>
    <col min="2" max="2" width="10" bestFit="1" customWidth="1"/>
    <col min="3" max="3" width="13.85546875" bestFit="1" customWidth="1"/>
    <col min="4" max="4" width="26" bestFit="1" customWidth="1"/>
    <col min="5" max="5" width="30.42578125" bestFit="1" customWidth="1"/>
    <col min="7" max="7" width="11.85546875" bestFit="1" customWidth="1"/>
  </cols>
  <sheetData>
    <row r="1" spans="1:10" x14ac:dyDescent="0.25">
      <c r="A1" t="s">
        <v>55</v>
      </c>
      <c r="B1">
        <v>75054959</v>
      </c>
      <c r="C1" t="s">
        <v>56</v>
      </c>
      <c r="D1" t="s">
        <v>57</v>
      </c>
      <c r="E1" t="s">
        <v>58</v>
      </c>
      <c r="F1" t="s">
        <v>38</v>
      </c>
      <c r="G1">
        <v>6</v>
      </c>
      <c r="H1">
        <v>8</v>
      </c>
      <c r="I1">
        <v>14</v>
      </c>
      <c r="J1">
        <v>9</v>
      </c>
    </row>
    <row r="2" spans="1:10" x14ac:dyDescent="0.25">
      <c r="A2" t="s">
        <v>55</v>
      </c>
      <c r="B2">
        <v>71717000</v>
      </c>
      <c r="C2" t="s">
        <v>56</v>
      </c>
      <c r="D2" t="s">
        <v>63</v>
      </c>
      <c r="E2" t="s">
        <v>64</v>
      </c>
      <c r="F2" t="s">
        <v>38</v>
      </c>
      <c r="G2">
        <v>15</v>
      </c>
      <c r="H2">
        <v>10</v>
      </c>
      <c r="I2">
        <v>33</v>
      </c>
      <c r="J2">
        <v>13</v>
      </c>
    </row>
    <row r="3" spans="1:10" x14ac:dyDescent="0.25">
      <c r="A3" t="s">
        <v>50</v>
      </c>
      <c r="B3">
        <v>44085224</v>
      </c>
      <c r="C3" t="s">
        <v>45</v>
      </c>
      <c r="D3" t="s">
        <v>51</v>
      </c>
      <c r="E3" t="s">
        <v>52</v>
      </c>
      <c r="F3" t="s">
        <v>41</v>
      </c>
      <c r="G3">
        <v>11</v>
      </c>
      <c r="H3">
        <v>8</v>
      </c>
      <c r="I3">
        <v>8</v>
      </c>
      <c r="J3">
        <v>5</v>
      </c>
    </row>
    <row r="4" spans="1:10" x14ac:dyDescent="0.25">
      <c r="A4" t="s">
        <v>50</v>
      </c>
      <c r="B4">
        <v>21467253</v>
      </c>
      <c r="C4" t="s">
        <v>45</v>
      </c>
      <c r="D4" t="s">
        <v>61</v>
      </c>
      <c r="E4" t="s">
        <v>62</v>
      </c>
      <c r="F4" t="s">
        <v>41</v>
      </c>
      <c r="G4">
        <v>2</v>
      </c>
      <c r="H4">
        <v>2</v>
      </c>
      <c r="I4">
        <v>6</v>
      </c>
      <c r="J4">
        <v>4</v>
      </c>
    </row>
    <row r="5" spans="1:10" x14ac:dyDescent="0.25">
      <c r="A5" t="s">
        <v>30</v>
      </c>
      <c r="B5">
        <v>46161161</v>
      </c>
      <c r="C5" t="s">
        <v>45</v>
      </c>
      <c r="D5" t="s">
        <v>48</v>
      </c>
      <c r="E5" t="s">
        <v>49</v>
      </c>
      <c r="F5" t="s">
        <v>39</v>
      </c>
      <c r="G5">
        <v>4</v>
      </c>
      <c r="H5">
        <v>5</v>
      </c>
      <c r="I5">
        <v>9</v>
      </c>
      <c r="J5">
        <v>5</v>
      </c>
    </row>
    <row r="6" spans="1:10" x14ac:dyDescent="0.25">
      <c r="A6" t="s">
        <v>30</v>
      </c>
      <c r="B6">
        <v>60474480</v>
      </c>
      <c r="C6" t="s">
        <v>45</v>
      </c>
      <c r="D6" t="s">
        <v>53</v>
      </c>
      <c r="E6" t="s">
        <v>54</v>
      </c>
      <c r="F6" t="s">
        <v>39</v>
      </c>
      <c r="G6">
        <v>5</v>
      </c>
      <c r="H6">
        <v>10</v>
      </c>
      <c r="I6">
        <v>8</v>
      </c>
      <c r="J6">
        <v>3</v>
      </c>
    </row>
    <row r="7" spans="1:10" x14ac:dyDescent="0.25">
      <c r="A7" t="s">
        <v>30</v>
      </c>
      <c r="B7">
        <v>75054960</v>
      </c>
      <c r="C7" t="s">
        <v>45</v>
      </c>
      <c r="D7" t="s">
        <v>59</v>
      </c>
      <c r="E7" t="s">
        <v>60</v>
      </c>
      <c r="F7" t="s">
        <v>39</v>
      </c>
      <c r="G7">
        <v>5</v>
      </c>
      <c r="H7">
        <v>8</v>
      </c>
      <c r="I7">
        <v>9</v>
      </c>
      <c r="J7">
        <v>8</v>
      </c>
    </row>
    <row r="8" spans="1:10" x14ac:dyDescent="0.25">
      <c r="A8" t="s">
        <v>30</v>
      </c>
      <c r="B8">
        <v>60971179</v>
      </c>
      <c r="C8" t="s">
        <v>45</v>
      </c>
      <c r="D8" t="s">
        <v>65</v>
      </c>
      <c r="E8" t="s">
        <v>66</v>
      </c>
      <c r="F8" t="s">
        <v>39</v>
      </c>
      <c r="G8">
        <v>3</v>
      </c>
      <c r="H8">
        <v>8</v>
      </c>
      <c r="I8">
        <v>10</v>
      </c>
      <c r="J8">
        <v>3</v>
      </c>
    </row>
    <row r="9" spans="1:10" x14ac:dyDescent="0.25">
      <c r="A9" t="s">
        <v>30</v>
      </c>
      <c r="B9">
        <v>61922069</v>
      </c>
      <c r="C9" t="s">
        <v>45</v>
      </c>
      <c r="D9" t="s">
        <v>67</v>
      </c>
      <c r="E9" t="s">
        <v>68</v>
      </c>
      <c r="F9" t="s">
        <v>39</v>
      </c>
      <c r="G9">
        <v>9</v>
      </c>
      <c r="H9">
        <v>10</v>
      </c>
      <c r="I9">
        <v>7</v>
      </c>
      <c r="J9">
        <v>8</v>
      </c>
    </row>
    <row r="10" spans="1:10" x14ac:dyDescent="0.25">
      <c r="A10" t="s">
        <v>30</v>
      </c>
      <c r="B10">
        <v>61281161</v>
      </c>
      <c r="C10" t="s">
        <v>45</v>
      </c>
      <c r="D10" t="s">
        <v>69</v>
      </c>
      <c r="E10" t="s">
        <v>70</v>
      </c>
      <c r="F10" t="s">
        <v>39</v>
      </c>
      <c r="G10">
        <v>7</v>
      </c>
      <c r="H10">
        <v>8</v>
      </c>
      <c r="I10">
        <v>9</v>
      </c>
      <c r="J10">
        <v>8</v>
      </c>
    </row>
    <row r="11" spans="1:10" x14ac:dyDescent="0.25">
      <c r="A11" t="s">
        <v>30</v>
      </c>
      <c r="B11">
        <v>72350542</v>
      </c>
      <c r="C11" t="s">
        <v>45</v>
      </c>
      <c r="D11" t="s">
        <v>71</v>
      </c>
      <c r="E11" t="s">
        <v>72</v>
      </c>
      <c r="F11" t="s">
        <v>39</v>
      </c>
      <c r="G11">
        <v>8</v>
      </c>
      <c r="H11">
        <v>6</v>
      </c>
      <c r="I11">
        <v>12</v>
      </c>
      <c r="J11">
        <v>7</v>
      </c>
    </row>
    <row r="12" spans="1:10" x14ac:dyDescent="0.25">
      <c r="A12" t="s">
        <v>34</v>
      </c>
      <c r="B12">
        <v>61086522</v>
      </c>
      <c r="C12" t="s">
        <v>45</v>
      </c>
      <c r="D12" t="s">
        <v>46</v>
      </c>
      <c r="E12" t="s">
        <v>47</v>
      </c>
      <c r="F12" t="s">
        <v>39</v>
      </c>
      <c r="G12">
        <v>7</v>
      </c>
      <c r="H12">
        <v>10</v>
      </c>
      <c r="I12">
        <v>19</v>
      </c>
      <c r="J12">
        <v>8</v>
      </c>
    </row>
    <row r="13" spans="1:10" x14ac:dyDescent="0.25">
      <c r="A13" t="s">
        <v>30</v>
      </c>
      <c r="B13">
        <v>76566219</v>
      </c>
      <c r="C13" t="s">
        <v>42</v>
      </c>
      <c r="D13" t="s">
        <v>29</v>
      </c>
      <c r="E13" t="s">
        <v>28</v>
      </c>
      <c r="F13" t="s">
        <v>39</v>
      </c>
      <c r="G13">
        <v>8</v>
      </c>
      <c r="H13">
        <v>7</v>
      </c>
      <c r="I13">
        <v>5</v>
      </c>
      <c r="J13">
        <v>7</v>
      </c>
    </row>
    <row r="14" spans="1:10" x14ac:dyDescent="0.25">
      <c r="A14" t="s">
        <v>20</v>
      </c>
      <c r="B14">
        <v>61833254</v>
      </c>
      <c r="C14" t="s">
        <v>21</v>
      </c>
      <c r="D14" t="s">
        <v>19</v>
      </c>
      <c r="E14" t="s">
        <v>18</v>
      </c>
      <c r="F14" t="s">
        <v>38</v>
      </c>
      <c r="G14">
        <v>9</v>
      </c>
      <c r="H14">
        <v>9</v>
      </c>
      <c r="I14">
        <v>17</v>
      </c>
      <c r="J14">
        <v>9</v>
      </c>
    </row>
    <row r="15" spans="1:10" x14ac:dyDescent="0.25">
      <c r="A15" t="s">
        <v>20</v>
      </c>
      <c r="B15">
        <v>60984967</v>
      </c>
      <c r="C15" t="s">
        <v>21</v>
      </c>
      <c r="D15" t="s">
        <v>23</v>
      </c>
      <c r="E15" t="s">
        <v>22</v>
      </c>
      <c r="F15" t="s">
        <v>38</v>
      </c>
      <c r="G15">
        <v>6</v>
      </c>
      <c r="H15">
        <v>6</v>
      </c>
      <c r="I15">
        <v>11</v>
      </c>
      <c r="J15">
        <v>7</v>
      </c>
    </row>
    <row r="16" spans="1:10" x14ac:dyDescent="0.25">
      <c r="A16" t="s">
        <v>34</v>
      </c>
      <c r="B16">
        <v>61110830</v>
      </c>
      <c r="C16" t="s">
        <v>42</v>
      </c>
      <c r="D16" t="s">
        <v>35</v>
      </c>
      <c r="E16" t="s">
        <v>36</v>
      </c>
      <c r="F16" t="s">
        <v>39</v>
      </c>
      <c r="G16">
        <v>7</v>
      </c>
      <c r="H16">
        <v>9</v>
      </c>
      <c r="I16">
        <v>6</v>
      </c>
      <c r="J16">
        <v>7</v>
      </c>
    </row>
    <row r="17" spans="1:10" x14ac:dyDescent="0.25">
      <c r="A17" t="s">
        <v>27</v>
      </c>
      <c r="B17">
        <v>623377402</v>
      </c>
      <c r="C17" t="s">
        <v>21</v>
      </c>
      <c r="D17" t="s">
        <v>33</v>
      </c>
      <c r="E17" t="s">
        <v>32</v>
      </c>
      <c r="F17" t="s">
        <v>39</v>
      </c>
      <c r="G17">
        <v>7</v>
      </c>
      <c r="H17">
        <v>9</v>
      </c>
      <c r="I17">
        <v>12</v>
      </c>
      <c r="J17">
        <v>11</v>
      </c>
    </row>
    <row r="18" spans="1:10" x14ac:dyDescent="0.25">
      <c r="A18" t="s">
        <v>27</v>
      </c>
      <c r="B18">
        <v>60465659</v>
      </c>
      <c r="C18" t="s">
        <v>42</v>
      </c>
      <c r="D18" t="s">
        <v>43</v>
      </c>
      <c r="E18" t="s">
        <v>31</v>
      </c>
      <c r="F18" t="s">
        <v>39</v>
      </c>
      <c r="G18">
        <v>11</v>
      </c>
      <c r="H18">
        <v>9</v>
      </c>
      <c r="I18">
        <v>13</v>
      </c>
      <c r="J18">
        <v>11</v>
      </c>
    </row>
    <row r="19" spans="1:10" x14ac:dyDescent="0.25">
      <c r="A19" t="s">
        <v>27</v>
      </c>
      <c r="B19">
        <v>60485270</v>
      </c>
      <c r="C19" t="s">
        <v>42</v>
      </c>
      <c r="D19" t="s">
        <v>44</v>
      </c>
      <c r="E19" t="s">
        <v>26</v>
      </c>
      <c r="F19" t="s">
        <v>39</v>
      </c>
      <c r="G19">
        <v>5</v>
      </c>
      <c r="H19">
        <v>8</v>
      </c>
      <c r="I19">
        <v>7</v>
      </c>
      <c r="J1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Consolidado_Chincha</vt:lpstr>
      <vt:lpstr>Acta_Final_Chincha</vt:lpstr>
      <vt:lpstr>Datos</vt:lpstr>
      <vt:lpstr>Hoja2</vt:lpstr>
      <vt:lpstr>Consolidado_Ica</vt:lpstr>
      <vt:lpstr>Acta_Final_Ica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Junior Chacaliaza Talla</dc:creator>
  <cp:lastModifiedBy>Asistencia TI</cp:lastModifiedBy>
  <dcterms:created xsi:type="dcterms:W3CDTF">2024-09-12T20:34:23Z</dcterms:created>
  <dcterms:modified xsi:type="dcterms:W3CDTF">2026-01-30T23:39:31Z</dcterms:modified>
</cp:coreProperties>
</file>